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сь отдел" sheetId="1" state="visible" r:id="rId1"/>
    <sheet xmlns:r="http://schemas.openxmlformats.org/officeDocument/2006/relationships" name="Менеджеры за год" sheetId="2" state="visible" r:id="rId2"/>
    <sheet xmlns:r="http://schemas.openxmlformats.org/officeDocument/2006/relationships" name="Менеджеры по месяцам" sheetId="3" state="visible" r:id="rId3"/>
    <sheet xmlns:r="http://schemas.openxmlformats.org/officeDocument/2006/relationships" name="Дашборд" sheetId="4" state="visible" r:id="rId4"/>
    <sheet xmlns:r="http://schemas.openxmlformats.org/officeDocument/2006/relationships" name="Детализация" sheetId="5" state="visible" r:id="rId5"/>
    <sheet xmlns:r="http://schemas.openxmlformats.org/officeDocument/2006/relationships" name="Проверки данны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164" fontId="1" fillId="4" borderId="1" applyAlignment="1" pivotButton="0" quotePrefix="0" xfId="0">
      <alignment horizontal="center" vertical="center" wrapText="1"/>
    </xf>
    <xf numFmtId="4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коэффициентов по отделу</a:t>
            </a:r>
          </a:p>
        </rich>
      </tx>
    </title>
    <plotArea>
      <lineChart>
        <grouping val="standard"/>
        <ser>
          <idx val="0"/>
          <order val="0"/>
          <tx>
            <strRef>
              <f>'Дашборд'!B7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'Дашборд'!$A$8:$A$19</f>
            </numRef>
          </cat>
          <val>
            <numRef>
              <f>'Дашборд'!$B$8:$B$19</f>
            </numRef>
          </val>
        </ser>
        <ser>
          <idx val="1"/>
          <order val="1"/>
          <tx>
            <strRef>
              <f>'Дашборд'!C7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'Дашборд'!$A$8:$A$19</f>
            </numRef>
          </cat>
          <val>
            <numRef>
              <f>'Дашборд'!$C$8:$C$19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Коэффициент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Отчет по пролонгациям за 2023 год — весь отдел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Месяц</t>
        </is>
      </c>
      <c r="B3" s="3" t="inlineStr">
        <is>
          <t>Пролонгации в первый месяц</t>
        </is>
      </c>
      <c r="C3" s="3" t="n"/>
      <c r="D3" s="3" t="n"/>
      <c r="E3" s="3" t="inlineStr">
        <is>
          <t>Пролонгации через месяц</t>
        </is>
      </c>
      <c r="F3" s="3" t="n"/>
      <c r="G3" s="3" t="n"/>
    </row>
    <row r="4">
      <c r="A4" s="3" t="n"/>
      <c r="B4" s="3" t="inlineStr">
        <is>
          <t>к пролонгации</t>
        </is>
      </c>
      <c r="C4" s="3" t="inlineStr">
        <is>
          <t>пролонгировано</t>
        </is>
      </c>
      <c r="D4" s="3" t="inlineStr">
        <is>
          <t>Коэффициент</t>
        </is>
      </c>
      <c r="E4" s="3" t="inlineStr">
        <is>
          <t>к пролонгации</t>
        </is>
      </c>
      <c r="F4" s="3" t="inlineStr">
        <is>
          <t>пролонгировано</t>
        </is>
      </c>
      <c r="G4" s="3" t="inlineStr">
        <is>
          <t>Коэффициент</t>
        </is>
      </c>
    </row>
    <row r="5">
      <c r="A5" s="4" t="inlineStr">
        <is>
          <t>Январь</t>
        </is>
      </c>
      <c r="B5" s="5" t="n">
        <v>5986766.859999999</v>
      </c>
      <c r="C5" s="5" t="n">
        <v>2677021.61</v>
      </c>
      <c r="D5" s="6" t="n">
        <v>0.4471564823888933</v>
      </c>
      <c r="E5" s="5" t="n">
        <v>545022</v>
      </c>
      <c r="F5" s="5" t="n">
        <v>73380</v>
      </c>
      <c r="G5" s="6" t="n">
        <v>0.1346367669561963</v>
      </c>
    </row>
    <row r="6">
      <c r="A6" s="4" t="inlineStr">
        <is>
          <t>Февраль</t>
        </is>
      </c>
      <c r="B6" s="5" t="n">
        <v>2549075.5</v>
      </c>
      <c r="C6" s="5" t="n">
        <v>1880945</v>
      </c>
      <c r="D6" s="6" t="n">
        <v>0.7378930125843663</v>
      </c>
      <c r="E6" s="5" t="n">
        <v>2890042.76</v>
      </c>
      <c r="F6" s="5" t="n">
        <v>262620</v>
      </c>
      <c r="G6" s="6" t="n">
        <v>0.09087062781036499</v>
      </c>
    </row>
    <row r="7">
      <c r="A7" s="4" t="inlineStr">
        <is>
          <t>Март</t>
        </is>
      </c>
      <c r="B7" s="5" t="n">
        <v>1899332.77</v>
      </c>
      <c r="C7" s="5" t="n">
        <v>1271739.4</v>
      </c>
      <c r="D7" s="6" t="n">
        <v>0.6695716622632695</v>
      </c>
      <c r="E7" s="5" t="n">
        <v>760840.5</v>
      </c>
      <c r="F7" s="5" t="n">
        <v>122999.08</v>
      </c>
      <c r="G7" s="6" t="n">
        <v>0.1616621092068574</v>
      </c>
    </row>
    <row r="8">
      <c r="A8" s="4" t="inlineStr">
        <is>
          <t>Апрель</t>
        </is>
      </c>
      <c r="B8" s="5" t="n">
        <v>3377742.2</v>
      </c>
      <c r="C8" s="5" t="n">
        <v>1501923.35</v>
      </c>
      <c r="D8" s="6" t="n">
        <v>0.444653043681072</v>
      </c>
      <c r="E8" s="5" t="n">
        <v>627735</v>
      </c>
      <c r="F8" s="5" t="n">
        <v>57940</v>
      </c>
      <c r="G8" s="6" t="n">
        <v>0.09230009478521987</v>
      </c>
    </row>
    <row r="9">
      <c r="A9" s="4" t="inlineStr">
        <is>
          <t>Май</t>
        </is>
      </c>
      <c r="B9" s="5" t="n">
        <v>3647436.5</v>
      </c>
      <c r="C9" s="5" t="n">
        <v>2194460.75</v>
      </c>
      <c r="D9" s="6" t="n">
        <v>0.6016446756509675</v>
      </c>
      <c r="E9" s="5" t="n">
        <v>1796703.8</v>
      </c>
      <c r="F9" s="5" t="n">
        <v>0</v>
      </c>
      <c r="G9" s="6" t="n">
        <v>0</v>
      </c>
    </row>
    <row r="10">
      <c r="A10" s="4" t="inlineStr">
        <is>
          <t>Июнь</t>
        </is>
      </c>
      <c r="B10" s="5" t="n">
        <v>1274625.53</v>
      </c>
      <c r="C10" s="5" t="n">
        <v>333068.28</v>
      </c>
      <c r="D10" s="6" t="n">
        <v>0.2613067698400801</v>
      </c>
      <c r="E10" s="5" t="n">
        <v>1015068.5</v>
      </c>
      <c r="F10" s="5" t="n">
        <v>38632.5</v>
      </c>
      <c r="G10" s="6" t="n">
        <v>0.03805900784035757</v>
      </c>
    </row>
    <row r="11">
      <c r="A11" s="4" t="inlineStr">
        <is>
          <t>Июль</t>
        </is>
      </c>
      <c r="B11" s="5" t="n">
        <v>2625982.85</v>
      </c>
      <c r="C11" s="5" t="n">
        <v>1390411</v>
      </c>
      <c r="D11" s="6" t="n">
        <v>0.5294821327565029</v>
      </c>
      <c r="E11" s="5" t="n">
        <v>1020325.53</v>
      </c>
      <c r="F11" s="5" t="n">
        <v>108285</v>
      </c>
      <c r="G11" s="6" t="n">
        <v>0.1061278943005572</v>
      </c>
    </row>
    <row r="12">
      <c r="A12" s="4" t="inlineStr">
        <is>
          <t>Август</t>
        </is>
      </c>
      <c r="B12" s="5" t="n">
        <v>1936915.83</v>
      </c>
      <c r="C12" s="5" t="n">
        <v>943678.88</v>
      </c>
      <c r="D12" s="6" t="n">
        <v>0.4872069634538533</v>
      </c>
      <c r="E12" s="5" t="n">
        <v>1452499.85</v>
      </c>
      <c r="F12" s="5" t="n">
        <v>52315</v>
      </c>
      <c r="G12" s="6" t="n">
        <v>0.03601721542346459</v>
      </c>
    </row>
    <row r="13">
      <c r="A13" s="4" t="inlineStr">
        <is>
          <t>Сентябрь</t>
        </is>
      </c>
      <c r="B13" s="5" t="n">
        <v>3241978.5</v>
      </c>
      <c r="C13" s="5" t="n">
        <v>1086504.42</v>
      </c>
      <c r="D13" s="6" t="n">
        <v>0.3351362200582144</v>
      </c>
      <c r="E13" s="5" t="n">
        <v>755739.63</v>
      </c>
      <c r="F13" s="5" t="n">
        <v>0</v>
      </c>
      <c r="G13" s="6" t="n">
        <v>0</v>
      </c>
    </row>
    <row r="14">
      <c r="A14" s="4" t="inlineStr">
        <is>
          <t>Октябрь</t>
        </is>
      </c>
      <c r="B14" s="5" t="n">
        <v>3820835.81</v>
      </c>
      <c r="C14" s="5" t="n">
        <v>3162695.19</v>
      </c>
      <c r="D14" s="6" t="n">
        <v>0.8277495677051875</v>
      </c>
      <c r="E14" s="5" t="n">
        <v>2183145.12</v>
      </c>
      <c r="F14" s="5" t="n">
        <v>245379</v>
      </c>
      <c r="G14" s="6" t="n">
        <v>0.1123970173819686</v>
      </c>
    </row>
    <row r="15">
      <c r="A15" s="4" t="inlineStr">
        <is>
          <t>Ноябрь</t>
        </is>
      </c>
      <c r="B15" s="5" t="n">
        <v>1567139.97</v>
      </c>
      <c r="C15" s="5" t="n">
        <v>811594</v>
      </c>
      <c r="D15" s="6" t="n">
        <v>0.5178822667639573</v>
      </c>
      <c r="E15" s="5" t="n">
        <v>1130392.68</v>
      </c>
      <c r="F15" s="5" t="n">
        <v>21400</v>
      </c>
      <c r="G15" s="6" t="n">
        <v>0.01893147432624918</v>
      </c>
    </row>
    <row r="16">
      <c r="A16" s="4" t="inlineStr">
        <is>
          <t>Декабрь</t>
        </is>
      </c>
      <c r="B16" s="5" t="n">
        <v>2434794.91</v>
      </c>
      <c r="C16" s="5" t="n">
        <v>1325978.16</v>
      </c>
      <c r="D16" s="6" t="n">
        <v>0.5445954213860255</v>
      </c>
      <c r="E16" s="5" t="n">
        <v>735957.5</v>
      </c>
      <c r="F16" s="5" t="n">
        <v>114440</v>
      </c>
      <c r="G16" s="6" t="n">
        <v>0.1554981096055139</v>
      </c>
    </row>
    <row r="17">
      <c r="A17" s="7" t="inlineStr">
        <is>
          <t>За год</t>
        </is>
      </c>
      <c r="B17" s="8" t="n">
        <v>34362627.23</v>
      </c>
      <c r="C17" s="8" t="n">
        <v>18580020.04</v>
      </c>
      <c r="D17" s="9" t="n">
        <v>0.5407042923591964</v>
      </c>
      <c r="E17" s="8" t="n">
        <v>14913472.87</v>
      </c>
      <c r="F17" s="8" t="n">
        <v>1097390.58</v>
      </c>
      <c r="G17" s="9" t="n">
        <v>0.07358383855765181</v>
      </c>
    </row>
  </sheetData>
  <mergeCells count="4">
    <mergeCell ref="B3:D3"/>
    <mergeCell ref="A3:A4"/>
    <mergeCell ref="A1:G1"/>
    <mergeCell ref="E3:G3"/>
  </mergeCells>
  <conditionalFormatting sqref="D5:D17">
    <cfRule type="colorScale" priority="1">
      <colorScale>
        <cfvo type="num" val="0"/>
        <cfvo type="percentile" val="50"/>
        <cfvo type="max"/>
        <color rgb="00F4CCCC"/>
        <color rgb="00FFF2CC"/>
        <color rgb="00D9EAD3"/>
      </colorScale>
    </cfRule>
  </conditionalFormatting>
  <conditionalFormatting sqref="G5:G17">
    <cfRule type="colorScale" priority="2">
      <colorScale>
        <cfvo type="num" val="0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Отчет по пролонгациям за 2023 год — менеджеры за год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Менеджер</t>
        </is>
      </c>
      <c r="B3" s="3" t="inlineStr">
        <is>
          <t>Пролонгации в первый месяц</t>
        </is>
      </c>
      <c r="C3" s="3" t="n"/>
      <c r="D3" s="3" t="n"/>
      <c r="E3" s="3" t="inlineStr">
        <is>
          <t>Пролонгации через месяц</t>
        </is>
      </c>
      <c r="F3" s="3" t="n"/>
      <c r="G3" s="3" t="n"/>
    </row>
    <row r="4">
      <c r="A4" s="3" t="n"/>
      <c r="B4" s="3" t="inlineStr">
        <is>
          <t>к пролонгации</t>
        </is>
      </c>
      <c r="C4" s="3" t="inlineStr">
        <is>
          <t>пролонгировано</t>
        </is>
      </c>
      <c r="D4" s="3" t="inlineStr">
        <is>
          <t>Коэффициент</t>
        </is>
      </c>
      <c r="E4" s="3" t="inlineStr">
        <is>
          <t>к пролонгации</t>
        </is>
      </c>
      <c r="F4" s="3" t="inlineStr">
        <is>
          <t>пролонгировано</t>
        </is>
      </c>
      <c r="G4" s="3" t="inlineStr">
        <is>
          <t>Коэффициент</t>
        </is>
      </c>
    </row>
    <row r="5">
      <c r="A5" s="4" t="inlineStr">
        <is>
          <t>Васильев Артем Александрович</t>
        </is>
      </c>
      <c r="B5" s="5" t="n">
        <v>11761147.79</v>
      </c>
      <c r="C5" s="5" t="n">
        <v>6119964.43</v>
      </c>
      <c r="D5" s="6" t="n">
        <v>0.5203543514012759</v>
      </c>
      <c r="E5" s="5" t="n">
        <v>5818845.4</v>
      </c>
      <c r="F5" s="5" t="n">
        <v>482441.58</v>
      </c>
      <c r="G5" s="6" t="n">
        <v>0.08291019039619096</v>
      </c>
    </row>
    <row r="6">
      <c r="A6" s="4" t="inlineStr">
        <is>
          <t>Иванова Мария Сергеевна</t>
        </is>
      </c>
      <c r="B6" s="5" t="n">
        <v>4727657.16</v>
      </c>
      <c r="C6" s="5" t="n">
        <v>1660095.55</v>
      </c>
      <c r="D6" s="6" t="n">
        <v>0.3511455026912315</v>
      </c>
      <c r="E6" s="5" t="n">
        <v>2503864.75</v>
      </c>
      <c r="F6" s="5" t="n">
        <v>0</v>
      </c>
      <c r="G6" s="6" t="n">
        <v>0</v>
      </c>
    </row>
    <row r="7">
      <c r="A7" s="4" t="inlineStr">
        <is>
          <t>Кузнецов Михаил Иванович</t>
        </is>
      </c>
      <c r="B7" s="5" t="n">
        <v>982724.4399999999</v>
      </c>
      <c r="C7" s="5" t="n">
        <v>470182.98</v>
      </c>
      <c r="D7" s="6" t="n">
        <v>0.4784484448153136</v>
      </c>
      <c r="E7" s="5" t="n">
        <v>167675</v>
      </c>
      <c r="F7" s="5" t="n">
        <v>0</v>
      </c>
      <c r="G7" s="6" t="n">
        <v>0</v>
      </c>
    </row>
    <row r="8">
      <c r="A8" s="4" t="inlineStr">
        <is>
          <t>Михайлов Андрей Сергеевич</t>
        </is>
      </c>
      <c r="B8" s="5" t="n">
        <v>3361833.59</v>
      </c>
      <c r="C8" s="5" t="n">
        <v>2235422.29</v>
      </c>
      <c r="D8" s="6" t="n">
        <v>0.6649413869411662</v>
      </c>
      <c r="E8" s="5" t="n">
        <v>1056004.68</v>
      </c>
      <c r="F8" s="5" t="n">
        <v>0</v>
      </c>
      <c r="G8" s="6" t="n">
        <v>0</v>
      </c>
    </row>
    <row r="9">
      <c r="A9" s="4" t="inlineStr">
        <is>
          <t>Петрова Анна Дмитриевна</t>
        </is>
      </c>
      <c r="B9" s="5" t="n">
        <v>98492</v>
      </c>
      <c r="C9" s="5" t="n">
        <v>109442.52</v>
      </c>
      <c r="D9" s="6" t="n">
        <v>1.111181821873858</v>
      </c>
      <c r="E9" s="5" t="n">
        <v>0</v>
      </c>
      <c r="F9" s="5" t="n">
        <v>0</v>
      </c>
      <c r="G9" s="6" t="n">
        <v/>
      </c>
    </row>
    <row r="10">
      <c r="A10" s="4" t="inlineStr">
        <is>
          <t>Попова Екатерина Николаевна</t>
        </is>
      </c>
      <c r="B10" s="5" t="n">
        <v>3680853.08</v>
      </c>
      <c r="C10" s="5" t="n">
        <v>1885685.8</v>
      </c>
      <c r="D10" s="6" t="n">
        <v>0.5122958615886946</v>
      </c>
      <c r="E10" s="5" t="n">
        <v>1750920.26</v>
      </c>
      <c r="F10" s="5" t="n">
        <v>241399</v>
      </c>
      <c r="G10" s="6" t="n">
        <v>0.1378697851151714</v>
      </c>
    </row>
    <row r="11">
      <c r="A11" s="4" t="inlineStr">
        <is>
          <t>Смирнова Ольга Владимировна</t>
        </is>
      </c>
      <c r="B11" s="5" t="n">
        <v>2951204.59</v>
      </c>
      <c r="C11" s="5" t="n">
        <v>2124958.5</v>
      </c>
      <c r="D11" s="6" t="n">
        <v>0.7200309010091368</v>
      </c>
      <c r="E11" s="5" t="n">
        <v>803500.8</v>
      </c>
      <c r="F11" s="5" t="n">
        <v>203825</v>
      </c>
      <c r="G11" s="6" t="n">
        <v>0.2536711848948999</v>
      </c>
    </row>
    <row r="12">
      <c r="A12" s="4" t="inlineStr">
        <is>
          <t>Соколова Анастасия Викторовна</t>
        </is>
      </c>
      <c r="B12" s="5" t="n">
        <v>6798714.58</v>
      </c>
      <c r="C12" s="5" t="n">
        <v>3974267.97</v>
      </c>
      <c r="D12" s="6" t="n">
        <v>0.584561673127334</v>
      </c>
      <c r="E12" s="5" t="n">
        <v>2812661.98</v>
      </c>
      <c r="F12" s="5" t="n">
        <v>169725</v>
      </c>
      <c r="G12" s="6" t="n">
        <v>0.06034319132795331</v>
      </c>
    </row>
    <row r="13">
      <c r="A13" s="4" t="inlineStr">
        <is>
          <t>Федорова Марина Васильевна</t>
        </is>
      </c>
      <c r="B13" s="5" t="n">
        <v>0</v>
      </c>
      <c r="C13" s="5" t="n">
        <v>0</v>
      </c>
      <c r="D13" s="6" t="n">
        <v/>
      </c>
      <c r="E13" s="5" t="n">
        <v>0</v>
      </c>
      <c r="F13" s="5" t="n">
        <v>0</v>
      </c>
      <c r="G13" s="6" t="n">
        <v/>
      </c>
    </row>
    <row r="14">
      <c r="A14" s="4" t="inlineStr">
        <is>
          <t>без А/М</t>
        </is>
      </c>
      <c r="B14" s="5" t="n">
        <v>0</v>
      </c>
      <c r="C14" s="5" t="n">
        <v>0</v>
      </c>
      <c r="D14" s="6" t="n">
        <v/>
      </c>
      <c r="E14" s="5" t="n">
        <v>0</v>
      </c>
      <c r="F14" s="5" t="n">
        <v>0</v>
      </c>
      <c r="G14" s="6" t="n">
        <v/>
      </c>
    </row>
    <row r="15">
      <c r="A15" s="7" t="inlineStr">
        <is>
          <t>Весь отдел</t>
        </is>
      </c>
      <c r="B15" s="8" t="n">
        <v>34362627.23</v>
      </c>
      <c r="C15" s="8" t="n">
        <v>18580020.04</v>
      </c>
      <c r="D15" s="9" t="n">
        <v>0.5407042923591964</v>
      </c>
      <c r="E15" s="8" t="n">
        <v>14913472.87</v>
      </c>
      <c r="F15" s="8" t="n">
        <v>1097390.58</v>
      </c>
      <c r="G15" s="9" t="n">
        <v>0.07358383855765181</v>
      </c>
    </row>
  </sheetData>
  <mergeCells count="4">
    <mergeCell ref="B3:D3"/>
    <mergeCell ref="A3:A4"/>
    <mergeCell ref="A1:G1"/>
    <mergeCell ref="E3:G3"/>
  </mergeCells>
  <conditionalFormatting sqref="D5:D15">
    <cfRule type="colorScale" priority="1">
      <colorScale>
        <cfvo type="num" val="0"/>
        <cfvo type="percentile" val="50"/>
        <cfvo type="max"/>
        <color rgb="00F4CCCC"/>
        <color rgb="00FFF2CC"/>
        <color rgb="00D9EAD3"/>
      </colorScale>
    </cfRule>
  </conditionalFormatting>
  <conditionalFormatting sqref="G5:G15">
    <cfRule type="colorScale" priority="2">
      <colorScale>
        <cfvo type="num" val="0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0" t="inlineStr">
        <is>
          <t>Коэффициент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Менеджер</t>
        </is>
      </c>
      <c r="B2" s="3" t="inlineStr">
        <is>
          <t>Месяц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3" t="n"/>
      <c r="B3" s="3" t="inlineStr">
        <is>
          <t>Январь</t>
        </is>
      </c>
      <c r="C3" s="3" t="inlineStr">
        <is>
          <t>Февраль</t>
        </is>
      </c>
      <c r="D3" s="3" t="inlineStr">
        <is>
          <t>Март</t>
        </is>
      </c>
      <c r="E3" s="3" t="inlineStr">
        <is>
          <t>Апрель</t>
        </is>
      </c>
      <c r="F3" s="3" t="inlineStr">
        <is>
          <t>Май</t>
        </is>
      </c>
      <c r="G3" s="3" t="inlineStr">
        <is>
          <t>Июнь</t>
        </is>
      </c>
      <c r="H3" s="3" t="inlineStr">
        <is>
          <t>Июль</t>
        </is>
      </c>
      <c r="I3" s="3" t="inlineStr">
        <is>
          <t>Август</t>
        </is>
      </c>
      <c r="J3" s="3" t="inlineStr">
        <is>
          <t>Сентябрь</t>
        </is>
      </c>
      <c r="K3" s="3" t="inlineStr">
        <is>
          <t>Октябрь</t>
        </is>
      </c>
      <c r="L3" s="3" t="inlineStr">
        <is>
          <t>Ноябрь</t>
        </is>
      </c>
      <c r="M3" s="3" t="inlineStr">
        <is>
          <t>Декабрь</t>
        </is>
      </c>
      <c r="N3" s="3" t="inlineStr">
        <is>
          <t>За год</t>
        </is>
      </c>
    </row>
    <row r="4">
      <c r="A4" s="4" t="inlineStr">
        <is>
          <t>Васильев Артем Александрович</t>
        </is>
      </c>
      <c r="B4" s="6" t="n">
        <v>0.556235833953774</v>
      </c>
      <c r="C4" s="6" t="n">
        <v>1.155760521008959</v>
      </c>
      <c r="D4" s="6" t="n">
        <v>0.6272496074555834</v>
      </c>
      <c r="E4" s="6" t="n">
        <v>0.3512481485785415</v>
      </c>
      <c r="F4" s="6" t="n">
        <v>0.496909743434618</v>
      </c>
      <c r="G4" s="6" t="n">
        <v>0.3892870356610281</v>
      </c>
      <c r="H4" s="6" t="n">
        <v>0.5850156702127803</v>
      </c>
      <c r="I4" s="6" t="n">
        <v>0.4775038520801232</v>
      </c>
      <c r="J4" s="6" t="n">
        <v>0.172432592799243</v>
      </c>
      <c r="K4" s="6" t="n">
        <v>0.8867503799486758</v>
      </c>
      <c r="L4" s="6" t="n">
        <v>0.6210006947226171</v>
      </c>
      <c r="M4" s="6" t="n">
        <v>0.3240631628564695</v>
      </c>
      <c r="N4" s="6" t="n">
        <v>0.5203543514012759</v>
      </c>
    </row>
    <row r="5">
      <c r="A5" s="4" t="inlineStr">
        <is>
          <t>Иванова Мария Сергеевна</t>
        </is>
      </c>
      <c r="B5" s="6" t="n">
        <v>0.2700657835853922</v>
      </c>
      <c r="C5" s="6" t="n">
        <v/>
      </c>
      <c r="D5" s="6" t="n">
        <v>0.4460744555188425</v>
      </c>
      <c r="E5" s="6" t="n">
        <v>0.2776828335454751</v>
      </c>
      <c r="F5" s="6" t="n">
        <v>1</v>
      </c>
      <c r="G5" s="6" t="n">
        <v>0</v>
      </c>
      <c r="H5" s="6" t="n">
        <v>0.4726105650056064</v>
      </c>
      <c r="I5" s="6" t="n">
        <v>0.540674552628795</v>
      </c>
      <c r="J5" s="6" t="n">
        <v>0.9985489020025152</v>
      </c>
      <c r="K5" s="6" t="n">
        <v/>
      </c>
      <c r="L5" s="6" t="n">
        <v/>
      </c>
      <c r="M5" s="6" t="n">
        <v/>
      </c>
      <c r="N5" s="6" t="n">
        <v>0.3511455026912315</v>
      </c>
    </row>
    <row r="6">
      <c r="A6" s="4" t="inlineStr">
        <is>
          <t>Кузнецов Михаил Иванович</t>
        </is>
      </c>
      <c r="B6" s="6" t="n">
        <v>1.26597879048438</v>
      </c>
      <c r="C6" s="6" t="n">
        <v>0.8469549467964682</v>
      </c>
      <c r="D6" s="6" t="n">
        <v/>
      </c>
      <c r="E6" s="6" t="n">
        <v>0</v>
      </c>
      <c r="F6" s="6" t="n">
        <v/>
      </c>
      <c r="G6" s="6" t="n">
        <v/>
      </c>
      <c r="H6" s="6" t="n">
        <v/>
      </c>
      <c r="I6" s="6" t="n">
        <v/>
      </c>
      <c r="J6" s="6" t="n">
        <v/>
      </c>
      <c r="K6" s="6" t="n">
        <v>1.308515426021579</v>
      </c>
      <c r="L6" s="6" t="n">
        <v>0.4736414793704891</v>
      </c>
      <c r="M6" s="6" t="n">
        <v>0.2740116643550536</v>
      </c>
      <c r="N6" s="6" t="n">
        <v>0.4784484448153136</v>
      </c>
    </row>
    <row r="7">
      <c r="A7" s="4" t="inlineStr">
        <is>
          <t>Михайлов Андрей Сергеевич</t>
        </is>
      </c>
      <c r="B7" s="6" t="n">
        <v>0.6879234191303456</v>
      </c>
      <c r="C7" s="6" t="n">
        <v>0.9036449656826814</v>
      </c>
      <c r="D7" s="6" t="n">
        <v>2.430577017299212</v>
      </c>
      <c r="E7" s="6" t="n">
        <v>1.098839320426344</v>
      </c>
      <c r="F7" s="6" t="n">
        <v>1.189615918725333</v>
      </c>
      <c r="G7" s="6" t="n">
        <v>0</v>
      </c>
      <c r="H7" s="6" t="n">
        <v>1.197524627431169</v>
      </c>
      <c r="I7" s="6" t="n">
        <v/>
      </c>
      <c r="J7" s="6" t="n">
        <v>0</v>
      </c>
      <c r="K7" s="6" t="n">
        <v>0.4490783646250567</v>
      </c>
      <c r="L7" s="6" t="n">
        <v/>
      </c>
      <c r="M7" s="6" t="n">
        <v>0</v>
      </c>
      <c r="N7" s="6" t="n">
        <v>0.6649413869411662</v>
      </c>
    </row>
    <row r="8">
      <c r="A8" s="4" t="inlineStr">
        <is>
          <t>Петрова Анна Дмитриевна</t>
        </is>
      </c>
      <c r="B8" s="6" t="n">
        <v/>
      </c>
      <c r="C8" s="6" t="n">
        <v/>
      </c>
      <c r="D8" s="6" t="n">
        <v/>
      </c>
      <c r="E8" s="6" t="n">
        <v/>
      </c>
      <c r="F8" s="6" t="n">
        <v/>
      </c>
      <c r="G8" s="6" t="n">
        <v/>
      </c>
      <c r="H8" s="6" t="n">
        <v/>
      </c>
      <c r="I8" s="6" t="n">
        <v/>
      </c>
      <c r="J8" s="6" t="n">
        <v/>
      </c>
      <c r="K8" s="6" t="n">
        <v/>
      </c>
      <c r="L8" s="6" t="n">
        <v/>
      </c>
      <c r="M8" s="6" t="n">
        <v>1.111181821873858</v>
      </c>
      <c r="N8" s="6" t="n">
        <v>1.111181821873858</v>
      </c>
    </row>
    <row r="9">
      <c r="A9" s="4" t="inlineStr">
        <is>
          <t>Попова Екатерина Николаевна</t>
        </is>
      </c>
      <c r="B9" s="6" t="n">
        <v>0.440678316189532</v>
      </c>
      <c r="C9" s="6" t="n">
        <v>0</v>
      </c>
      <c r="D9" s="6" t="n">
        <v>0.6845232653807478</v>
      </c>
      <c r="E9" s="6" t="n">
        <v>0.2893615912673084</v>
      </c>
      <c r="F9" s="6" t="n">
        <v>0.7569476597073422</v>
      </c>
      <c r="G9" s="6" t="n">
        <v>0</v>
      </c>
      <c r="H9" s="6" t="n">
        <v>0.09605189297074783</v>
      </c>
      <c r="I9" s="6" t="n">
        <v>0.4799360795454545</v>
      </c>
      <c r="J9" s="6" t="n">
        <v>0.4543825532738065</v>
      </c>
      <c r="K9" s="6" t="n">
        <v>0.793626210254749</v>
      </c>
      <c r="L9" s="6" t="n">
        <v/>
      </c>
      <c r="M9" s="6" t="n">
        <v>0.6001238280558995</v>
      </c>
      <c r="N9" s="6" t="n">
        <v>0.5122958615886946</v>
      </c>
    </row>
    <row r="10">
      <c r="A10" s="4" t="inlineStr">
        <is>
          <t>Смирнова Ольга Владимировна</t>
        </is>
      </c>
      <c r="B10" s="6" t="n">
        <v>0.7433949691820756</v>
      </c>
      <c r="C10" s="6" t="n">
        <v>0</v>
      </c>
      <c r="D10" s="6" t="n">
        <v/>
      </c>
      <c r="E10" s="6" t="n">
        <v>0.9661026054257319</v>
      </c>
      <c r="F10" s="6" t="n">
        <v/>
      </c>
      <c r="G10" s="6" t="n">
        <v>0.3824193502182197</v>
      </c>
      <c r="H10" s="6" t="n">
        <v>0</v>
      </c>
      <c r="I10" s="6" t="n">
        <v>0.3725285626325511</v>
      </c>
      <c r="J10" s="6" t="n">
        <v>0.765470380389609</v>
      </c>
      <c r="K10" s="6" t="n">
        <v>1.047241308923813</v>
      </c>
      <c r="L10" s="6" t="n">
        <v>0.8362370621385686</v>
      </c>
      <c r="M10" s="6" t="n">
        <v>0.3611369711452556</v>
      </c>
      <c r="N10" s="6" t="n">
        <v>0.7200309010091368</v>
      </c>
    </row>
    <row r="11">
      <c r="A11" s="4" t="inlineStr">
        <is>
          <t>Соколова Анастасия Викторовна</t>
        </is>
      </c>
      <c r="B11" s="6" t="n">
        <v>0.4273322365052594</v>
      </c>
      <c r="C11" s="6" t="n">
        <v>0.2347344721918677</v>
      </c>
      <c r="D11" s="6" t="n">
        <v>0.9392194718334138</v>
      </c>
      <c r="E11" s="6" t="n">
        <v>1.065834615374963</v>
      </c>
      <c r="F11" s="6" t="n">
        <v>0.2374064418467749</v>
      </c>
      <c r="G11" s="6" t="n">
        <v>0.7664224952741021</v>
      </c>
      <c r="H11" s="6" t="n">
        <v>0.6190880980363072</v>
      </c>
      <c r="I11" s="6" t="n">
        <v>0.5412625778835392</v>
      </c>
      <c r="J11" s="6" t="n">
        <v>0.2947200518889787</v>
      </c>
      <c r="K11" s="6" t="n">
        <v>0.8417982922377741</v>
      </c>
      <c r="L11" s="6" t="n">
        <v>0.1786262892253676</v>
      </c>
      <c r="M11" s="6" t="n">
        <v>0.791061481597168</v>
      </c>
      <c r="N11" s="6" t="n">
        <v>0.584561673127334</v>
      </c>
    </row>
    <row r="12">
      <c r="A12" s="4" t="inlineStr">
        <is>
          <t>Федорова Марина Васильевна</t>
        </is>
      </c>
      <c r="B12" s="6" t="n">
        <v/>
      </c>
      <c r="C12" s="6" t="n">
        <v/>
      </c>
      <c r="D12" s="6" t="n">
        <v/>
      </c>
      <c r="E12" s="6" t="n">
        <v/>
      </c>
      <c r="F12" s="6" t="n">
        <v/>
      </c>
      <c r="G12" s="6" t="n">
        <v/>
      </c>
      <c r="H12" s="6" t="n">
        <v/>
      </c>
      <c r="I12" s="6" t="n">
        <v/>
      </c>
      <c r="J12" s="6" t="n">
        <v/>
      </c>
      <c r="K12" s="6" t="n">
        <v/>
      </c>
      <c r="L12" s="6" t="n">
        <v/>
      </c>
      <c r="M12" s="6" t="n">
        <v/>
      </c>
      <c r="N12" s="6" t="n">
        <v/>
      </c>
    </row>
    <row r="13">
      <c r="A13" s="4" t="inlineStr">
        <is>
          <t>без А/М</t>
        </is>
      </c>
      <c r="B13" s="6" t="n">
        <v/>
      </c>
      <c r="C13" s="6" t="n">
        <v/>
      </c>
      <c r="D13" s="6" t="n">
        <v/>
      </c>
      <c r="E13" s="6" t="n">
        <v/>
      </c>
      <c r="F13" s="6" t="n">
        <v/>
      </c>
      <c r="G13" s="6" t="n">
        <v/>
      </c>
      <c r="H13" s="6" t="n">
        <v/>
      </c>
      <c r="I13" s="6" t="n">
        <v/>
      </c>
      <c r="J13" s="6" t="n">
        <v/>
      </c>
      <c r="K13" s="6" t="n">
        <v/>
      </c>
      <c r="L13" s="6" t="n">
        <v/>
      </c>
      <c r="M13" s="6" t="n">
        <v/>
      </c>
      <c r="N13" s="6" t="n">
        <v/>
      </c>
    </row>
    <row r="14">
      <c r="A14" s="7" t="inlineStr">
        <is>
          <t>Весь отдел</t>
        </is>
      </c>
      <c r="B14" s="9" t="n">
        <v>0.4471564823888933</v>
      </c>
      <c r="C14" s="9" t="n">
        <v>0.7378930125843663</v>
      </c>
      <c r="D14" s="9" t="n">
        <v>0.6695716622632695</v>
      </c>
      <c r="E14" s="9" t="n">
        <v>0.444653043681072</v>
      </c>
      <c r="F14" s="9" t="n">
        <v>0.6016446756509675</v>
      </c>
      <c r="G14" s="9" t="n">
        <v>0.2613067698400801</v>
      </c>
      <c r="H14" s="9" t="n">
        <v>0.5294821327565029</v>
      </c>
      <c r="I14" s="9" t="n">
        <v>0.4872069634538533</v>
      </c>
      <c r="J14" s="9" t="n">
        <v>0.3351362200582144</v>
      </c>
      <c r="K14" s="9" t="n">
        <v>0.8277495677051875</v>
      </c>
      <c r="L14" s="9" t="n">
        <v>0.5178822667639573</v>
      </c>
      <c r="M14" s="9" t="n">
        <v>0.5445954213860255</v>
      </c>
      <c r="N14" s="9" t="n">
        <v>0.5407042923591964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10" t="inlineStr">
        <is>
          <t>Коэффициент 2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3" t="inlineStr">
        <is>
          <t>Менеджер</t>
        </is>
      </c>
      <c r="B18" s="3" t="inlineStr">
        <is>
          <t>Месяц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inlineStr">
        <is>
          <t>Январь</t>
        </is>
      </c>
      <c r="C19" s="3" t="inlineStr">
        <is>
          <t>Февраль</t>
        </is>
      </c>
      <c r="D19" s="3" t="inlineStr">
        <is>
          <t>Март</t>
        </is>
      </c>
      <c r="E19" s="3" t="inlineStr">
        <is>
          <t>Апрель</t>
        </is>
      </c>
      <c r="F19" s="3" t="inlineStr">
        <is>
          <t>Май</t>
        </is>
      </c>
      <c r="G19" s="3" t="inlineStr">
        <is>
          <t>Июнь</t>
        </is>
      </c>
      <c r="H19" s="3" t="inlineStr">
        <is>
          <t>Июль</t>
        </is>
      </c>
      <c r="I19" s="3" t="inlineStr">
        <is>
          <t>Август</t>
        </is>
      </c>
      <c r="J19" s="3" t="inlineStr">
        <is>
          <t>Сентябрь</t>
        </is>
      </c>
      <c r="K19" s="3" t="inlineStr">
        <is>
          <t>Октябрь</t>
        </is>
      </c>
      <c r="L19" s="3" t="inlineStr">
        <is>
          <t>Ноябрь</t>
        </is>
      </c>
      <c r="M19" s="3" t="inlineStr">
        <is>
          <t>Декабрь</t>
        </is>
      </c>
      <c r="N19" s="3" t="inlineStr">
        <is>
          <t>За год</t>
        </is>
      </c>
    </row>
    <row r="20">
      <c r="A20" s="4" t="inlineStr">
        <is>
          <t>Васильев Артем Александрович</t>
        </is>
      </c>
      <c r="B20" s="6" t="n">
        <v>0</v>
      </c>
      <c r="C20" s="6" t="n">
        <v>0.1865460236611375</v>
      </c>
      <c r="D20" s="6" t="n">
        <v>0.7078232898172324</v>
      </c>
      <c r="E20" s="6" t="n">
        <v>0.1102034102746861</v>
      </c>
      <c r="F20" s="6" t="n">
        <v>0</v>
      </c>
      <c r="G20" s="6" t="n">
        <v>0.0569625712446836</v>
      </c>
      <c r="H20" s="6" t="n">
        <v>0</v>
      </c>
      <c r="I20" s="6" t="n">
        <v>0</v>
      </c>
      <c r="J20" s="6" t="n">
        <v>0</v>
      </c>
      <c r="K20" s="6" t="n">
        <v>0.07225635943178065</v>
      </c>
      <c r="L20" s="6" t="n">
        <v>0</v>
      </c>
      <c r="M20" s="6" t="n">
        <v>0.4848585552278487</v>
      </c>
      <c r="N20" s="6" t="n">
        <v>0.08291019039619096</v>
      </c>
    </row>
    <row r="21">
      <c r="A21" s="4" t="inlineStr">
        <is>
          <t>Иванова Мария Сергеевна</t>
        </is>
      </c>
      <c r="B21" s="6" t="n">
        <v>0</v>
      </c>
      <c r="C21" s="6" t="n">
        <v>0</v>
      </c>
      <c r="D21" s="6" t="n">
        <v/>
      </c>
      <c r="E21" s="6" t="n">
        <v>0</v>
      </c>
      <c r="F21" s="6" t="n">
        <v>0</v>
      </c>
      <c r="G21" s="6" t="n">
        <v/>
      </c>
      <c r="H21" s="6" t="n">
        <v>0</v>
      </c>
      <c r="I21" s="6" t="n">
        <v>0</v>
      </c>
      <c r="J21" s="6" t="n">
        <v>0</v>
      </c>
      <c r="K21" s="6" t="n">
        <v/>
      </c>
      <c r="L21" s="6" t="n">
        <v/>
      </c>
      <c r="M21" s="6" t="n">
        <v/>
      </c>
      <c r="N21" s="6" t="n">
        <v>0</v>
      </c>
    </row>
    <row r="22">
      <c r="A22" s="4" t="inlineStr">
        <is>
          <t>Кузнецов Михаил Иванович</t>
        </is>
      </c>
      <c r="B22" s="6" t="n">
        <v/>
      </c>
      <c r="C22" s="6" t="n">
        <v/>
      </c>
      <c r="D22" s="6" t="n">
        <v/>
      </c>
      <c r="E22" s="6" t="n">
        <v/>
      </c>
      <c r="F22" s="6" t="n">
        <v>0</v>
      </c>
      <c r="G22" s="6" t="n">
        <v/>
      </c>
      <c r="H22" s="6" t="n">
        <v/>
      </c>
      <c r="I22" s="6" t="n">
        <v/>
      </c>
      <c r="J22" s="6" t="n">
        <v/>
      </c>
      <c r="K22" s="6" t="n">
        <v/>
      </c>
      <c r="L22" s="6" t="n">
        <v/>
      </c>
      <c r="M22" s="6" t="n">
        <v>0</v>
      </c>
      <c r="N22" s="6" t="n">
        <v>0</v>
      </c>
    </row>
    <row r="23">
      <c r="A23" s="4" t="inlineStr">
        <is>
          <t>Михайлов Андрей Сергеевич</t>
        </is>
      </c>
      <c r="B23" s="6" t="n">
        <v>0</v>
      </c>
      <c r="C23" s="6" t="n">
        <v>0</v>
      </c>
      <c r="D23" s="6" t="n">
        <v/>
      </c>
      <c r="E23" s="6" t="n">
        <v/>
      </c>
      <c r="F23" s="6" t="n">
        <v/>
      </c>
      <c r="G23" s="6" t="n">
        <v/>
      </c>
      <c r="H23" s="6" t="n">
        <v>0</v>
      </c>
      <c r="I23" s="6" t="n">
        <v/>
      </c>
      <c r="J23" s="6" t="n">
        <v/>
      </c>
      <c r="K23" s="6" t="n">
        <v>0</v>
      </c>
      <c r="L23" s="6" t="n">
        <v>0</v>
      </c>
      <c r="M23" s="6" t="n">
        <v/>
      </c>
      <c r="N23" s="6" t="n">
        <v>0</v>
      </c>
    </row>
    <row r="24">
      <c r="A24" s="4" t="inlineStr">
        <is>
          <t>Петрова Анна Дмитриевна</t>
        </is>
      </c>
      <c r="B24" s="6" t="n">
        <v/>
      </c>
      <c r="C24" s="6" t="n">
        <v/>
      </c>
      <c r="D24" s="6" t="n">
        <v/>
      </c>
      <c r="E24" s="6" t="n">
        <v/>
      </c>
      <c r="F24" s="6" t="n">
        <v/>
      </c>
      <c r="G24" s="6" t="n">
        <v/>
      </c>
      <c r="H24" s="6" t="n">
        <v/>
      </c>
      <c r="I24" s="6" t="n">
        <v/>
      </c>
      <c r="J24" s="6" t="n">
        <v/>
      </c>
      <c r="K24" s="6" t="n">
        <v/>
      </c>
      <c r="L24" s="6" t="n">
        <v/>
      </c>
      <c r="M24" s="6" t="n">
        <v/>
      </c>
      <c r="N24" s="6" t="n">
        <v/>
      </c>
    </row>
    <row r="25">
      <c r="A25" s="4" t="inlineStr">
        <is>
          <t>Попова Екатерина Николаевна</t>
        </is>
      </c>
      <c r="B25" s="6" t="n">
        <v>0</v>
      </c>
      <c r="C25" s="6" t="n">
        <v>0</v>
      </c>
      <c r="D25" s="6" t="n">
        <v>0</v>
      </c>
      <c r="E25" s="6" t="n">
        <v>0.1909066451439333</v>
      </c>
      <c r="F25" s="6" t="n">
        <v>0</v>
      </c>
      <c r="G25" s="6" t="n">
        <v>0</v>
      </c>
      <c r="H25" s="6" t="n">
        <v>0.5057859836172149</v>
      </c>
      <c r="I25" s="6" t="n">
        <v>0</v>
      </c>
      <c r="J25" s="6" t="n">
        <v>0</v>
      </c>
      <c r="K25" s="6" t="n">
        <v>0.6217278782112274</v>
      </c>
      <c r="L25" s="6" t="n">
        <v>0.1898370470723135</v>
      </c>
      <c r="M25" s="6" t="n">
        <v/>
      </c>
      <c r="N25" s="6" t="n">
        <v>0.1378697851151714</v>
      </c>
    </row>
    <row r="26">
      <c r="A26" s="4" t="inlineStr">
        <is>
          <t>Смирнова Ольга Владимировна</t>
        </is>
      </c>
      <c r="B26" s="6" t="n">
        <v/>
      </c>
      <c r="C26" s="6" t="n">
        <v>0</v>
      </c>
      <c r="D26" s="6" t="n">
        <v>1.150520833333333</v>
      </c>
      <c r="E26" s="6" t="n">
        <v/>
      </c>
      <c r="F26" s="6" t="n">
        <v/>
      </c>
      <c r="G26" s="6" t="n">
        <v/>
      </c>
      <c r="H26" s="6" t="n">
        <v>0.5162791441753317</v>
      </c>
      <c r="I26" s="6" t="n">
        <v>1.553065162535253</v>
      </c>
      <c r="J26" s="6" t="n">
        <v>0</v>
      </c>
      <c r="K26" s="6" t="n">
        <v>0</v>
      </c>
      <c r="L26" s="6" t="n">
        <v>0</v>
      </c>
      <c r="M26" s="6" t="n">
        <v>0.3984299785232911</v>
      </c>
      <c r="N26" s="6" t="n">
        <v>0.2536711848948999</v>
      </c>
    </row>
    <row r="27">
      <c r="A27" s="4" t="inlineStr">
        <is>
          <t>Соколова Анастасия Викторовна</t>
        </is>
      </c>
      <c r="B27" s="6" t="n">
        <v>0.6788473102363661</v>
      </c>
      <c r="C27" s="6" t="n">
        <v>0.2156755047695526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0.06034319132795331</v>
      </c>
    </row>
    <row r="28">
      <c r="A28" s="4" t="inlineStr">
        <is>
          <t>Федорова Марина Васильевна</t>
        </is>
      </c>
      <c r="B28" s="6" t="n">
        <v/>
      </c>
      <c r="C28" s="6" t="n">
        <v/>
      </c>
      <c r="D28" s="6" t="n">
        <v/>
      </c>
      <c r="E28" s="6" t="n">
        <v/>
      </c>
      <c r="F28" s="6" t="n">
        <v/>
      </c>
      <c r="G28" s="6" t="n">
        <v/>
      </c>
      <c r="H28" s="6" t="n">
        <v/>
      </c>
      <c r="I28" s="6" t="n">
        <v/>
      </c>
      <c r="J28" s="6" t="n">
        <v/>
      </c>
      <c r="K28" s="6" t="n">
        <v/>
      </c>
      <c r="L28" s="6" t="n">
        <v/>
      </c>
      <c r="M28" s="6" t="n">
        <v/>
      </c>
      <c r="N28" s="6" t="n">
        <v/>
      </c>
    </row>
    <row r="29">
      <c r="A29" s="4" t="inlineStr">
        <is>
          <t>без А/М</t>
        </is>
      </c>
      <c r="B29" s="6" t="n">
        <v/>
      </c>
      <c r="C29" s="6" t="n">
        <v/>
      </c>
      <c r="D29" s="6" t="n">
        <v/>
      </c>
      <c r="E29" s="6" t="n">
        <v/>
      </c>
      <c r="F29" s="6" t="n">
        <v/>
      </c>
      <c r="G29" s="6" t="n">
        <v/>
      </c>
      <c r="H29" s="6" t="n">
        <v/>
      </c>
      <c r="I29" s="6" t="n">
        <v/>
      </c>
      <c r="J29" s="6" t="n">
        <v/>
      </c>
      <c r="K29" s="6" t="n">
        <v/>
      </c>
      <c r="L29" s="6" t="n">
        <v/>
      </c>
      <c r="M29" s="6" t="n">
        <v/>
      </c>
      <c r="N29" s="6" t="n">
        <v/>
      </c>
    </row>
    <row r="30">
      <c r="A30" s="7" t="inlineStr">
        <is>
          <t>Весь отдел</t>
        </is>
      </c>
      <c r="B30" s="9" t="n">
        <v>0.1346367669561963</v>
      </c>
      <c r="C30" s="9" t="n">
        <v>0.09087062781036499</v>
      </c>
      <c r="D30" s="9" t="n">
        <v>0.1616621092068574</v>
      </c>
      <c r="E30" s="9" t="n">
        <v>0.09230009478521987</v>
      </c>
      <c r="F30" s="9" t="n">
        <v>0</v>
      </c>
      <c r="G30" s="9" t="n">
        <v>0.03805900784035757</v>
      </c>
      <c r="H30" s="9" t="n">
        <v>0.1061278943005572</v>
      </c>
      <c r="I30" s="9" t="n">
        <v>0.03601721542346459</v>
      </c>
      <c r="J30" s="9" t="n">
        <v>0</v>
      </c>
      <c r="K30" s="9" t="n">
        <v>0.1123970173819686</v>
      </c>
      <c r="L30" s="9" t="n">
        <v>0.01893147432624918</v>
      </c>
      <c r="M30" s="9" t="n">
        <v>0.1554981096055139</v>
      </c>
      <c r="N30" s="9" t="n">
        <v>0.07358383855765181</v>
      </c>
    </row>
  </sheetData>
  <mergeCells count="6">
    <mergeCell ref="A17:N17"/>
    <mergeCell ref="B18:N18"/>
    <mergeCell ref="A2:A3"/>
    <mergeCell ref="A18:A19"/>
    <mergeCell ref="B2:N2"/>
    <mergeCell ref="A1:N1"/>
  </mergeCells>
  <conditionalFormatting sqref="B4:N14">
    <cfRule type="colorScale" priority="1">
      <colorScale>
        <cfvo type="num" val="0"/>
        <cfvo type="percentile" val="50"/>
        <cfvo type="max"/>
        <color rgb="00F4CCCC"/>
        <color rgb="00FFF2CC"/>
        <color rgb="00D9EAD3"/>
      </colorScale>
    </cfRule>
  </conditionalFormatting>
  <conditionalFormatting sqref="B20:N30">
    <cfRule type="colorScale" priority="2">
      <colorScale>
        <cfvo type="num" val="0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  <col width="22" customWidth="1" min="3" max="3"/>
    <col width="10" customWidth="1" min="4" max="4"/>
    <col width="15" customWidth="1" min="5" max="5"/>
    <col width="10" customWidth="1" min="6" max="6"/>
    <col width="15" customWidth="1" min="7" max="7"/>
    <col width="10" customWidth="1" min="8" max="8"/>
  </cols>
  <sheetData>
    <row r="1">
      <c r="A1" s="1" t="inlineStr">
        <is>
          <t>Дашборд пролонгаций за 2023 год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Коэф. 1 за год</t>
        </is>
      </c>
      <c r="B3" s="2" t="n"/>
      <c r="C3" s="3" t="inlineStr">
        <is>
          <t>Коэф. 2 за год</t>
        </is>
      </c>
      <c r="D3" s="2" t="n"/>
      <c r="E3" s="3" t="inlineStr">
        <is>
          <t>База 1 за год</t>
        </is>
      </c>
      <c r="F3" s="2" t="n"/>
      <c r="G3" s="3" t="inlineStr">
        <is>
          <t>База 2 за год</t>
        </is>
      </c>
      <c r="H3" s="2" t="n"/>
    </row>
    <row r="4">
      <c r="A4" s="11" t="n">
        <v>0.5407042923591964</v>
      </c>
      <c r="B4" s="2" t="n"/>
      <c r="C4" s="11" t="n">
        <v>0.07358383855765181</v>
      </c>
      <c r="D4" s="2" t="n"/>
      <c r="E4" s="12" t="n">
        <v>34362627.23</v>
      </c>
      <c r="F4" s="2" t="n"/>
      <c r="G4" s="12" t="n">
        <v>14913472.87</v>
      </c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3" t="inlineStr">
        <is>
          <t>Месяц</t>
        </is>
      </c>
      <c r="B7" s="3" t="inlineStr">
        <is>
          <t>Коэф. 1</t>
        </is>
      </c>
      <c r="C7" s="3" t="inlineStr">
        <is>
          <t>Коэф. 2</t>
        </is>
      </c>
      <c r="D7" s="2" t="n"/>
      <c r="E7" s="2" t="n"/>
      <c r="F7" s="2" t="n"/>
      <c r="G7" s="2" t="n"/>
      <c r="H7" s="2" t="n"/>
    </row>
    <row r="8">
      <c r="A8" s="4" t="inlineStr">
        <is>
          <t>Январь</t>
        </is>
      </c>
      <c r="B8" s="6" t="n">
        <v>0.4471564823888933</v>
      </c>
      <c r="C8" s="6" t="n">
        <v>0.1346367669561963</v>
      </c>
      <c r="D8" s="2" t="n"/>
      <c r="E8" s="2" t="n"/>
      <c r="F8" s="2" t="n"/>
      <c r="G8" s="2" t="n"/>
      <c r="H8" s="2" t="n"/>
    </row>
    <row r="9">
      <c r="A9" s="4" t="inlineStr">
        <is>
          <t>Февраль</t>
        </is>
      </c>
      <c r="B9" s="6" t="n">
        <v>0.7378930125843663</v>
      </c>
      <c r="C9" s="6" t="n">
        <v>0.09087062781036499</v>
      </c>
      <c r="D9" s="2" t="n"/>
      <c r="E9" s="2" t="n"/>
      <c r="F9" s="2" t="n"/>
      <c r="G9" s="2" t="n"/>
      <c r="H9" s="2" t="n"/>
    </row>
    <row r="10">
      <c r="A10" s="4" t="inlineStr">
        <is>
          <t>Март</t>
        </is>
      </c>
      <c r="B10" s="6" t="n">
        <v>0.6695716622632695</v>
      </c>
      <c r="C10" s="6" t="n">
        <v>0.1616621092068574</v>
      </c>
      <c r="D10" s="2" t="n"/>
      <c r="E10" s="2" t="n"/>
      <c r="F10" s="2" t="n"/>
      <c r="G10" s="2" t="n"/>
      <c r="H10" s="2" t="n"/>
    </row>
    <row r="11">
      <c r="A11" s="4" t="inlineStr">
        <is>
          <t>Апрель</t>
        </is>
      </c>
      <c r="B11" s="6" t="n">
        <v>0.444653043681072</v>
      </c>
      <c r="C11" s="6" t="n">
        <v>0.09230009478521987</v>
      </c>
      <c r="D11" s="2" t="n"/>
      <c r="E11" s="2" t="n"/>
      <c r="F11" s="2" t="n"/>
      <c r="G11" s="2" t="n"/>
      <c r="H11" s="2" t="n"/>
    </row>
    <row r="12">
      <c r="A12" s="4" t="inlineStr">
        <is>
          <t>Май</t>
        </is>
      </c>
      <c r="B12" s="6" t="n">
        <v>0.6016446756509675</v>
      </c>
      <c r="C12" s="6" t="n">
        <v>0</v>
      </c>
      <c r="D12" s="2" t="n"/>
      <c r="E12" s="2" t="n"/>
      <c r="F12" s="2" t="n"/>
      <c r="G12" s="2" t="n"/>
      <c r="H12" s="2" t="n"/>
    </row>
    <row r="13">
      <c r="A13" s="4" t="inlineStr">
        <is>
          <t>Июнь</t>
        </is>
      </c>
      <c r="B13" s="6" t="n">
        <v>0.2613067698400801</v>
      </c>
      <c r="C13" s="6" t="n">
        <v>0.03805900784035757</v>
      </c>
      <c r="D13" s="2" t="n"/>
      <c r="E13" s="2" t="n"/>
      <c r="F13" s="2" t="n"/>
      <c r="G13" s="2" t="n"/>
      <c r="H13" s="2" t="n"/>
    </row>
    <row r="14">
      <c r="A14" s="4" t="inlineStr">
        <is>
          <t>Июль</t>
        </is>
      </c>
      <c r="B14" s="6" t="n">
        <v>0.5294821327565029</v>
      </c>
      <c r="C14" s="6" t="n">
        <v>0.1061278943005572</v>
      </c>
      <c r="D14" s="2" t="n"/>
      <c r="E14" s="2" t="n"/>
      <c r="F14" s="2" t="n"/>
      <c r="G14" s="2" t="n"/>
      <c r="H14" s="2" t="n"/>
    </row>
    <row r="15">
      <c r="A15" s="4" t="inlineStr">
        <is>
          <t>Август</t>
        </is>
      </c>
      <c r="B15" s="6" t="n">
        <v>0.4872069634538533</v>
      </c>
      <c r="C15" s="6" t="n">
        <v>0.03601721542346459</v>
      </c>
      <c r="D15" s="2" t="n"/>
      <c r="E15" s="2" t="n"/>
      <c r="F15" s="2" t="n"/>
      <c r="G15" s="2" t="n"/>
      <c r="H15" s="2" t="n"/>
    </row>
    <row r="16">
      <c r="A16" s="4" t="inlineStr">
        <is>
          <t>Сентябрь</t>
        </is>
      </c>
      <c r="B16" s="6" t="n">
        <v>0.3351362200582144</v>
      </c>
      <c r="C16" s="6" t="n">
        <v>0</v>
      </c>
      <c r="D16" s="2" t="n"/>
      <c r="E16" s="2" t="n"/>
      <c r="F16" s="2" t="n"/>
      <c r="G16" s="2" t="n"/>
      <c r="H16" s="2" t="n"/>
    </row>
    <row r="17">
      <c r="A17" s="4" t="inlineStr">
        <is>
          <t>Октябрь</t>
        </is>
      </c>
      <c r="B17" s="6" t="n">
        <v>0.8277495677051875</v>
      </c>
      <c r="C17" s="6" t="n">
        <v>0.1123970173819686</v>
      </c>
      <c r="D17" s="2" t="n"/>
      <c r="E17" s="2" t="n"/>
      <c r="F17" s="2" t="n"/>
      <c r="G17" s="2" t="n"/>
      <c r="H17" s="2" t="n"/>
    </row>
    <row r="18">
      <c r="A18" s="4" t="inlineStr">
        <is>
          <t>Ноябрь</t>
        </is>
      </c>
      <c r="B18" s="6" t="n">
        <v>0.5178822667639573</v>
      </c>
      <c r="C18" s="6" t="n">
        <v>0.01893147432624918</v>
      </c>
      <c r="D18" s="2" t="n"/>
      <c r="E18" s="2" t="n"/>
      <c r="F18" s="2" t="n"/>
      <c r="G18" s="2" t="n"/>
      <c r="H18" s="2" t="n"/>
    </row>
    <row r="19">
      <c r="A19" s="4" t="inlineStr">
        <is>
          <t>Декабрь</t>
        </is>
      </c>
      <c r="B19" s="6" t="n">
        <v>0.5445954213860255</v>
      </c>
      <c r="C19" s="6" t="n">
        <v>0.1554981096055139</v>
      </c>
      <c r="D19" s="2" t="n"/>
      <c r="E19" s="2" t="n"/>
      <c r="F19" s="2" t="n"/>
      <c r="G19" s="2" t="n"/>
      <c r="H19" s="2" t="n"/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20" customWidth="1" min="3" max="3"/>
    <col width="24" customWidth="1" min="4" max="4"/>
    <col width="21" customWidth="1" min="5" max="5"/>
    <col width="26" customWidth="1" min="6" max="6"/>
    <col width="27" customWidth="1" min="7" max="7"/>
    <col width="20" customWidth="1" min="8" max="8"/>
    <col width="24" customWidth="1" min="9" max="9"/>
    <col width="22" customWidth="1" min="10" max="10"/>
    <col width="26" customWidth="1" min="11" max="11"/>
    <col width="27" customWidth="1" min="12" max="12"/>
  </cols>
  <sheetData>
    <row r="1">
      <c r="A1" s="3" t="inlineStr">
        <is>
          <t>Менеджер</t>
        </is>
      </c>
      <c r="B1" s="3" t="inlineStr">
        <is>
          <t>Месяц</t>
        </is>
      </c>
      <c r="C1" s="3" t="inlineStr">
        <is>
          <t>База 1 месяц</t>
        </is>
      </c>
      <c r="D1" s="3" t="inlineStr">
        <is>
          <t>Пролонгировано 1 месяц</t>
        </is>
      </c>
      <c r="E1" s="3" t="inlineStr">
        <is>
          <t>Коэф. 1 месяц</t>
        </is>
      </c>
      <c r="F1" s="3" t="inlineStr">
        <is>
          <t>Проектов к пролонгации 1</t>
        </is>
      </c>
      <c r="G1" s="3" t="inlineStr">
        <is>
          <t>Проектов пролонгировано 1</t>
        </is>
      </c>
      <c r="H1" s="3" t="inlineStr">
        <is>
          <t>База 2 месяц</t>
        </is>
      </c>
      <c r="I1" s="3" t="inlineStr">
        <is>
          <t>Пролонгировано 2 месяц</t>
        </is>
      </c>
      <c r="J1" s="3" t="inlineStr">
        <is>
          <t>Коэф. 2 месяц</t>
        </is>
      </c>
      <c r="K1" s="3" t="inlineStr">
        <is>
          <t>Проектов к пролонгации 2</t>
        </is>
      </c>
      <c r="L1" s="3" t="inlineStr">
        <is>
          <t>Проектов пролонгировано 2</t>
        </is>
      </c>
    </row>
    <row r="2">
      <c r="A2" s="4" t="inlineStr">
        <is>
          <t>Васильев Артем Александрович</t>
        </is>
      </c>
      <c r="B2" s="4" t="inlineStr">
        <is>
          <t>Январь 2023</t>
        </is>
      </c>
      <c r="C2" s="5" t="n">
        <v>1693097.68</v>
      </c>
      <c r="D2" s="5" t="n">
        <v>941761.6</v>
      </c>
      <c r="E2" s="6" t="n">
        <v>0.556235833953774</v>
      </c>
      <c r="F2" s="13" t="n">
        <v>22</v>
      </c>
      <c r="G2" s="13" t="n">
        <v>6</v>
      </c>
      <c r="H2" s="5" t="n">
        <v>260862</v>
      </c>
      <c r="I2" s="5" t="n">
        <v>0</v>
      </c>
      <c r="J2" s="6" t="n">
        <v>0</v>
      </c>
      <c r="K2" s="13" t="n">
        <v>8</v>
      </c>
      <c r="L2" s="13" t="n">
        <v>0</v>
      </c>
    </row>
    <row r="3">
      <c r="A3" s="4" t="inlineStr">
        <is>
          <t>Васильев Артем Александрович</t>
        </is>
      </c>
      <c r="B3" s="4" t="inlineStr">
        <is>
          <t>Февраль 2023</t>
        </is>
      </c>
      <c r="C3" s="5" t="n">
        <v>756225</v>
      </c>
      <c r="D3" s="5" t="n">
        <v>874015</v>
      </c>
      <c r="E3" s="6" t="n">
        <v>1.155760521008959</v>
      </c>
      <c r="F3" s="13" t="n">
        <v>5</v>
      </c>
      <c r="G3" s="13" t="n">
        <v>2</v>
      </c>
      <c r="H3" s="5" t="n">
        <v>891335</v>
      </c>
      <c r="I3" s="5" t="n">
        <v>166275</v>
      </c>
      <c r="J3" s="6" t="n">
        <v>0.1865460236611375</v>
      </c>
      <c r="K3" s="13" t="n">
        <v>16</v>
      </c>
      <c r="L3" s="13" t="n">
        <v>2</v>
      </c>
    </row>
    <row r="4">
      <c r="A4" s="4" t="inlineStr">
        <is>
          <t>Васильев Артем Александрович</t>
        </is>
      </c>
      <c r="B4" s="4" t="inlineStr">
        <is>
          <t>Март 2023</t>
        </is>
      </c>
      <c r="C4" s="5" t="n">
        <v>991467.4199999999</v>
      </c>
      <c r="D4" s="5" t="n">
        <v>621897.55</v>
      </c>
      <c r="E4" s="6" t="n">
        <v>0.6272496074555834</v>
      </c>
      <c r="F4" s="13" t="n">
        <v>9</v>
      </c>
      <c r="G4" s="13" t="n">
        <v>5</v>
      </c>
      <c r="H4" s="5" t="n">
        <v>95750</v>
      </c>
      <c r="I4" s="5" t="n">
        <v>67774.08</v>
      </c>
      <c r="J4" s="6" t="n">
        <v>0.7078232898172324</v>
      </c>
      <c r="K4" s="13" t="n">
        <v>3</v>
      </c>
      <c r="L4" s="13" t="n">
        <v>1</v>
      </c>
    </row>
    <row r="5">
      <c r="A5" s="4" t="inlineStr">
        <is>
          <t>Васильев Артем Александрович</t>
        </is>
      </c>
      <c r="B5" s="4" t="inlineStr">
        <is>
          <t>Апрель 2023</t>
        </is>
      </c>
      <c r="C5" s="5" t="n">
        <v>1601033.35</v>
      </c>
      <c r="D5" s="5" t="n">
        <v>562360</v>
      </c>
      <c r="E5" s="6" t="n">
        <v>0.3512481485785415</v>
      </c>
      <c r="F5" s="13" t="n">
        <v>11</v>
      </c>
      <c r="G5" s="13" t="n">
        <v>5</v>
      </c>
      <c r="H5" s="5" t="n">
        <v>364780</v>
      </c>
      <c r="I5" s="5" t="n">
        <v>40200</v>
      </c>
      <c r="J5" s="6" t="n">
        <v>0.1102034102746861</v>
      </c>
      <c r="K5" s="13" t="n">
        <v>4</v>
      </c>
      <c r="L5" s="13" t="n">
        <v>1</v>
      </c>
    </row>
    <row r="6">
      <c r="A6" s="4" t="inlineStr">
        <is>
          <t>Васильев Артем Александрович</t>
        </is>
      </c>
      <c r="B6" s="4" t="inlineStr">
        <is>
          <t>Май 2023</t>
        </is>
      </c>
      <c r="C6" s="5" t="n">
        <v>2277723.5</v>
      </c>
      <c r="D6" s="5" t="n">
        <v>1131823</v>
      </c>
      <c r="E6" s="6" t="n">
        <v>0.496909743434618</v>
      </c>
      <c r="F6" s="13" t="n">
        <v>11</v>
      </c>
      <c r="G6" s="13" t="n">
        <v>6</v>
      </c>
      <c r="H6" s="5" t="n">
        <v>1004848.8</v>
      </c>
      <c r="I6" s="5" t="n">
        <v>0</v>
      </c>
      <c r="J6" s="6" t="n">
        <v>0</v>
      </c>
      <c r="K6" s="13" t="n">
        <v>6</v>
      </c>
      <c r="L6" s="13" t="n">
        <v>0</v>
      </c>
    </row>
    <row r="7">
      <c r="A7" s="4" t="inlineStr">
        <is>
          <t>Васильев Артем Александрович</t>
        </is>
      </c>
      <c r="B7" s="4" t="inlineStr">
        <is>
          <t>Июнь 2023</t>
        </is>
      </c>
      <c r="C7" s="5" t="n">
        <v>390286</v>
      </c>
      <c r="D7" s="5" t="n">
        <v>151933.28</v>
      </c>
      <c r="E7" s="6" t="n">
        <v>0.3892870356610281</v>
      </c>
      <c r="F7" s="13" t="n">
        <v>5</v>
      </c>
      <c r="G7" s="13" t="n">
        <v>2</v>
      </c>
      <c r="H7" s="5" t="n">
        <v>678208.5</v>
      </c>
      <c r="I7" s="5" t="n">
        <v>38632.5</v>
      </c>
      <c r="J7" s="6" t="n">
        <v>0.0569625712446836</v>
      </c>
      <c r="K7" s="13" t="n">
        <v>5</v>
      </c>
      <c r="L7" s="13" t="n">
        <v>1</v>
      </c>
    </row>
    <row r="8">
      <c r="A8" s="4" t="inlineStr">
        <is>
          <t>Васильев Артем Александрович</t>
        </is>
      </c>
      <c r="B8" s="4" t="inlineStr">
        <is>
          <t>Июль 2023</t>
        </is>
      </c>
      <c r="C8" s="5" t="n">
        <v>891755.6</v>
      </c>
      <c r="D8" s="5" t="n">
        <v>521691</v>
      </c>
      <c r="E8" s="6" t="n">
        <v>0.5850156702127803</v>
      </c>
      <c r="F8" s="13" t="n">
        <v>10</v>
      </c>
      <c r="G8" s="13" t="n">
        <v>5</v>
      </c>
      <c r="H8" s="5" t="n">
        <v>230686</v>
      </c>
      <c r="I8" s="5" t="n">
        <v>0</v>
      </c>
      <c r="J8" s="6" t="n">
        <v>0</v>
      </c>
      <c r="K8" s="13" t="n">
        <v>3</v>
      </c>
      <c r="L8" s="13" t="n">
        <v>0</v>
      </c>
    </row>
    <row r="9">
      <c r="A9" s="4" t="inlineStr">
        <is>
          <t>Васильев Артем Александрович</t>
        </is>
      </c>
      <c r="B9" s="4" t="inlineStr">
        <is>
          <t>Август 2023</t>
        </is>
      </c>
      <c r="C9" s="5" t="n">
        <v>649000</v>
      </c>
      <c r="D9" s="5" t="n">
        <v>309900</v>
      </c>
      <c r="E9" s="6" t="n">
        <v>0.4775038520801232</v>
      </c>
      <c r="F9" s="13" t="n">
        <v>5</v>
      </c>
      <c r="G9" s="13" t="n">
        <v>3</v>
      </c>
      <c r="H9" s="5" t="n">
        <v>492017.6</v>
      </c>
      <c r="I9" s="5" t="n">
        <v>0</v>
      </c>
      <c r="J9" s="6" t="n">
        <v>0</v>
      </c>
      <c r="K9" s="13" t="n">
        <v>5</v>
      </c>
      <c r="L9" s="13" t="n">
        <v>0</v>
      </c>
    </row>
    <row r="10">
      <c r="A10" s="4" t="inlineStr">
        <is>
          <t>Васильев Артем Александрович</t>
        </is>
      </c>
      <c r="B10" s="4" t="inlineStr">
        <is>
          <t>Сентябрь 2023</t>
        </is>
      </c>
      <c r="C10" s="5" t="n">
        <v>1361540.74</v>
      </c>
      <c r="D10" s="5" t="n">
        <v>234774</v>
      </c>
      <c r="E10" s="6" t="n">
        <v>0.172432592799243</v>
      </c>
      <c r="F10" s="13" t="n">
        <v>8</v>
      </c>
      <c r="G10" s="13" t="n">
        <v>3</v>
      </c>
      <c r="H10" s="5" t="n">
        <v>274500</v>
      </c>
      <c r="I10" s="5" t="n">
        <v>0</v>
      </c>
      <c r="J10" s="6" t="n">
        <v>0</v>
      </c>
      <c r="K10" s="13" t="n">
        <v>2</v>
      </c>
      <c r="L10" s="13" t="n">
        <v>0</v>
      </c>
    </row>
    <row r="11">
      <c r="A11" s="4" t="inlineStr">
        <is>
          <t>Васильев Артем Александрович</t>
        </is>
      </c>
      <c r="B11" s="4" t="inlineStr">
        <is>
          <t>Октябрь 2023</t>
        </is>
      </c>
      <c r="C11" s="5" t="n">
        <v>401370</v>
      </c>
      <c r="D11" s="5" t="n">
        <v>355915</v>
      </c>
      <c r="E11" s="6" t="n">
        <v>0.8867503799486758</v>
      </c>
      <c r="F11" s="13" t="n">
        <v>6</v>
      </c>
      <c r="G11" s="13" t="n">
        <v>1</v>
      </c>
      <c r="H11" s="5" t="n">
        <v>1135125</v>
      </c>
      <c r="I11" s="5" t="n">
        <v>82020</v>
      </c>
      <c r="J11" s="6" t="n">
        <v>0.07225635943178065</v>
      </c>
      <c r="K11" s="13" t="n">
        <v>5</v>
      </c>
      <c r="L11" s="13" t="n">
        <v>1</v>
      </c>
    </row>
    <row r="12">
      <c r="A12" s="4" t="inlineStr">
        <is>
          <t>Васильев Артем Александрович</t>
        </is>
      </c>
      <c r="B12" s="4" t="inlineStr">
        <is>
          <t>Ноябрь 2023</t>
        </is>
      </c>
      <c r="C12" s="5" t="n">
        <v>577928.5</v>
      </c>
      <c r="D12" s="5" t="n">
        <v>358894</v>
      </c>
      <c r="E12" s="6" t="n">
        <v>0.6210006947226171</v>
      </c>
      <c r="F12" s="13" t="n">
        <v>8</v>
      </c>
      <c r="G12" s="13" t="n">
        <v>3</v>
      </c>
      <c r="H12" s="5" t="n">
        <v>210185</v>
      </c>
      <c r="I12" s="5" t="n">
        <v>0</v>
      </c>
      <c r="J12" s="6" t="n">
        <v>0</v>
      </c>
      <c r="K12" s="13" t="n">
        <v>5</v>
      </c>
      <c r="L12" s="13" t="n">
        <v>0</v>
      </c>
    </row>
    <row r="13">
      <c r="A13" s="4" t="inlineStr">
        <is>
          <t>Васильев Артем Александрович</t>
        </is>
      </c>
      <c r="B13" s="4" t="inlineStr">
        <is>
          <t>Декабрь 2023</t>
        </is>
      </c>
      <c r="C13" s="5" t="n">
        <v>169720</v>
      </c>
      <c r="D13" s="5" t="n">
        <v>55000</v>
      </c>
      <c r="E13" s="6" t="n">
        <v>0.3240631628564695</v>
      </c>
      <c r="F13" s="13" t="n">
        <v>7</v>
      </c>
      <c r="G13" s="13" t="n">
        <v>1</v>
      </c>
      <c r="H13" s="5" t="n">
        <v>180547.5</v>
      </c>
      <c r="I13" s="5" t="n">
        <v>87540</v>
      </c>
      <c r="J13" s="6" t="n">
        <v>0.4848585552278487</v>
      </c>
      <c r="K13" s="13" t="n">
        <v>5</v>
      </c>
      <c r="L13" s="13" t="n">
        <v>1</v>
      </c>
    </row>
    <row r="14">
      <c r="A14" s="4" t="inlineStr">
        <is>
          <t>Весь отдел</t>
        </is>
      </c>
      <c r="B14" s="4" t="inlineStr">
        <is>
          <t>Январь 2023</t>
        </is>
      </c>
      <c r="C14" s="5" t="n">
        <v>5986766.859999999</v>
      </c>
      <c r="D14" s="5" t="n">
        <v>2677021.61</v>
      </c>
      <c r="E14" s="6" t="n">
        <v>0.4471564823888933</v>
      </c>
      <c r="F14" s="13" t="n">
        <v>67</v>
      </c>
      <c r="G14" s="13" t="n">
        <v>23</v>
      </c>
      <c r="H14" s="5" t="n">
        <v>545022</v>
      </c>
      <c r="I14" s="5" t="n">
        <v>73380</v>
      </c>
      <c r="J14" s="6" t="n">
        <v>0.1346367669561963</v>
      </c>
      <c r="K14" s="13" t="n">
        <v>14</v>
      </c>
      <c r="L14" s="13" t="n">
        <v>1</v>
      </c>
    </row>
    <row r="15">
      <c r="A15" s="4" t="inlineStr">
        <is>
          <t>Весь отдел</t>
        </is>
      </c>
      <c r="B15" s="4" t="inlineStr">
        <is>
          <t>Февраль 2023</t>
        </is>
      </c>
      <c r="C15" s="5" t="n">
        <v>2549075.5</v>
      </c>
      <c r="D15" s="5" t="n">
        <v>1880945</v>
      </c>
      <c r="E15" s="6" t="n">
        <v>0.7378930125843663</v>
      </c>
      <c r="F15" s="13" t="n">
        <v>20</v>
      </c>
      <c r="G15" s="13" t="n">
        <v>6</v>
      </c>
      <c r="H15" s="5" t="n">
        <v>2890042.76</v>
      </c>
      <c r="I15" s="5" t="n">
        <v>262620</v>
      </c>
      <c r="J15" s="6" t="n">
        <v>0.09087062781036499</v>
      </c>
      <c r="K15" s="13" t="n">
        <v>44</v>
      </c>
      <c r="L15" s="13" t="n">
        <v>4</v>
      </c>
    </row>
    <row r="16">
      <c r="A16" s="4" t="inlineStr">
        <is>
          <t>Весь отдел</t>
        </is>
      </c>
      <c r="B16" s="4" t="inlineStr">
        <is>
          <t>Март 2023</t>
        </is>
      </c>
      <c r="C16" s="5" t="n">
        <v>1899332.77</v>
      </c>
      <c r="D16" s="5" t="n">
        <v>1271739.4</v>
      </c>
      <c r="E16" s="6" t="n">
        <v>0.6695716622632695</v>
      </c>
      <c r="F16" s="13" t="n">
        <v>28</v>
      </c>
      <c r="G16" s="13" t="n">
        <v>13</v>
      </c>
      <c r="H16" s="5" t="n">
        <v>760840.5</v>
      </c>
      <c r="I16" s="5" t="n">
        <v>122999.08</v>
      </c>
      <c r="J16" s="6" t="n">
        <v>0.1616621092068574</v>
      </c>
      <c r="K16" s="13" t="n">
        <v>14</v>
      </c>
      <c r="L16" s="13" t="n">
        <v>2</v>
      </c>
    </row>
    <row r="17">
      <c r="A17" s="4" t="inlineStr">
        <is>
          <t>Весь отдел</t>
        </is>
      </c>
      <c r="B17" s="4" t="inlineStr">
        <is>
          <t>Апрель 2023</t>
        </is>
      </c>
      <c r="C17" s="5" t="n">
        <v>3377742.2</v>
      </c>
      <c r="D17" s="5" t="n">
        <v>1501923.35</v>
      </c>
      <c r="E17" s="6" t="n">
        <v>0.444653043681072</v>
      </c>
      <c r="F17" s="13" t="n">
        <v>31</v>
      </c>
      <c r="G17" s="13" t="n">
        <v>16</v>
      </c>
      <c r="H17" s="5" t="n">
        <v>627735</v>
      </c>
      <c r="I17" s="5" t="n">
        <v>57940</v>
      </c>
      <c r="J17" s="6" t="n">
        <v>0.09230009478521987</v>
      </c>
      <c r="K17" s="13" t="n">
        <v>15</v>
      </c>
      <c r="L17" s="13" t="n">
        <v>2</v>
      </c>
    </row>
    <row r="18">
      <c r="A18" s="4" t="inlineStr">
        <is>
          <t>Весь отдел</t>
        </is>
      </c>
      <c r="B18" s="4" t="inlineStr">
        <is>
          <t>Май 2023</t>
        </is>
      </c>
      <c r="C18" s="5" t="n">
        <v>3647436.5</v>
      </c>
      <c r="D18" s="5" t="n">
        <v>2194460.75</v>
      </c>
      <c r="E18" s="6" t="n">
        <v>0.6016446756509675</v>
      </c>
      <c r="F18" s="13" t="n">
        <v>27</v>
      </c>
      <c r="G18" s="13" t="n">
        <v>17</v>
      </c>
      <c r="H18" s="5" t="n">
        <v>1796703.8</v>
      </c>
      <c r="I18" s="5" t="n">
        <v>0</v>
      </c>
      <c r="J18" s="6" t="n">
        <v>0</v>
      </c>
      <c r="K18" s="13" t="n">
        <v>15</v>
      </c>
      <c r="L18" s="13" t="n">
        <v>0</v>
      </c>
    </row>
    <row r="19">
      <c r="A19" s="4" t="inlineStr">
        <is>
          <t>Весь отдел</t>
        </is>
      </c>
      <c r="B19" s="4" t="inlineStr">
        <is>
          <t>Июнь 2023</t>
        </is>
      </c>
      <c r="C19" s="5" t="n">
        <v>1274625.53</v>
      </c>
      <c r="D19" s="5" t="n">
        <v>333068.28</v>
      </c>
      <c r="E19" s="6" t="n">
        <v>0.2613067698400801</v>
      </c>
      <c r="F19" s="13" t="n">
        <v>22</v>
      </c>
      <c r="G19" s="13" t="n">
        <v>4</v>
      </c>
      <c r="H19" s="5" t="n">
        <v>1015068.5</v>
      </c>
      <c r="I19" s="5" t="n">
        <v>38632.5</v>
      </c>
      <c r="J19" s="6" t="n">
        <v>0.03805900784035757</v>
      </c>
      <c r="K19" s="13" t="n">
        <v>10</v>
      </c>
      <c r="L19" s="13" t="n">
        <v>1</v>
      </c>
    </row>
    <row r="20">
      <c r="A20" s="4" t="inlineStr">
        <is>
          <t>Весь отдел</t>
        </is>
      </c>
      <c r="B20" s="4" t="inlineStr">
        <is>
          <t>Июль 2023</t>
        </is>
      </c>
      <c r="C20" s="5" t="n">
        <v>2625982.85</v>
      </c>
      <c r="D20" s="5" t="n">
        <v>1390411</v>
      </c>
      <c r="E20" s="6" t="n">
        <v>0.5294821327565029</v>
      </c>
      <c r="F20" s="13" t="n">
        <v>31</v>
      </c>
      <c r="G20" s="13" t="n">
        <v>14</v>
      </c>
      <c r="H20" s="5" t="n">
        <v>1020325.53</v>
      </c>
      <c r="I20" s="5" t="n">
        <v>108285</v>
      </c>
      <c r="J20" s="6" t="n">
        <v>0.1061278943005572</v>
      </c>
      <c r="K20" s="13" t="n">
        <v>18</v>
      </c>
      <c r="L20" s="13" t="n">
        <v>2</v>
      </c>
    </row>
    <row r="21">
      <c r="A21" s="4" t="inlineStr">
        <is>
          <t>Весь отдел</t>
        </is>
      </c>
      <c r="B21" s="4" t="inlineStr">
        <is>
          <t>Август 2023</t>
        </is>
      </c>
      <c r="C21" s="5" t="n">
        <v>1936915.83</v>
      </c>
      <c r="D21" s="5" t="n">
        <v>943678.88</v>
      </c>
      <c r="E21" s="6" t="n">
        <v>0.4872069634538533</v>
      </c>
      <c r="F21" s="13" t="n">
        <v>23</v>
      </c>
      <c r="G21" s="13" t="n">
        <v>12</v>
      </c>
      <c r="H21" s="5" t="n">
        <v>1452499.85</v>
      </c>
      <c r="I21" s="5" t="n">
        <v>52315</v>
      </c>
      <c r="J21" s="6" t="n">
        <v>0.03601721542346459</v>
      </c>
      <c r="K21" s="13" t="n">
        <v>17</v>
      </c>
      <c r="L21" s="13" t="n">
        <v>1</v>
      </c>
    </row>
    <row r="22">
      <c r="A22" s="4" t="inlineStr">
        <is>
          <t>Весь отдел</t>
        </is>
      </c>
      <c r="B22" s="4" t="inlineStr">
        <is>
          <t>Сентябрь 2023</t>
        </is>
      </c>
      <c r="C22" s="5" t="n">
        <v>3241978.5</v>
      </c>
      <c r="D22" s="5" t="n">
        <v>1086504.42</v>
      </c>
      <c r="E22" s="6" t="n">
        <v>0.3351362200582144</v>
      </c>
      <c r="F22" s="13" t="n">
        <v>26</v>
      </c>
      <c r="G22" s="13" t="n">
        <v>10</v>
      </c>
      <c r="H22" s="5" t="n">
        <v>755739.63</v>
      </c>
      <c r="I22" s="5" t="n">
        <v>0</v>
      </c>
      <c r="J22" s="6" t="n">
        <v>0</v>
      </c>
      <c r="K22" s="13" t="n">
        <v>11</v>
      </c>
      <c r="L22" s="13" t="n">
        <v>0</v>
      </c>
    </row>
    <row r="23">
      <c r="A23" s="4" t="inlineStr">
        <is>
          <t>Весь отдел</t>
        </is>
      </c>
      <c r="B23" s="4" t="inlineStr">
        <is>
          <t>Октябрь 2023</t>
        </is>
      </c>
      <c r="C23" s="5" t="n">
        <v>3820835.81</v>
      </c>
      <c r="D23" s="5" t="n">
        <v>3162695.19</v>
      </c>
      <c r="E23" s="6" t="n">
        <v>0.8277495677051875</v>
      </c>
      <c r="F23" s="13" t="n">
        <v>41</v>
      </c>
      <c r="G23" s="13" t="n">
        <v>20</v>
      </c>
      <c r="H23" s="5" t="n">
        <v>2183145.12</v>
      </c>
      <c r="I23" s="5" t="n">
        <v>245379</v>
      </c>
      <c r="J23" s="6" t="n">
        <v>0.1123970173819686</v>
      </c>
      <c r="K23" s="13" t="n">
        <v>16</v>
      </c>
      <c r="L23" s="13" t="n">
        <v>2</v>
      </c>
    </row>
    <row r="24">
      <c r="A24" s="4" t="inlineStr">
        <is>
          <t>Весь отдел</t>
        </is>
      </c>
      <c r="B24" s="4" t="inlineStr">
        <is>
          <t>Ноябрь 2023</t>
        </is>
      </c>
      <c r="C24" s="5" t="n">
        <v>1567139.97</v>
      </c>
      <c r="D24" s="5" t="n">
        <v>811594</v>
      </c>
      <c r="E24" s="6" t="n">
        <v>0.5178822667639573</v>
      </c>
      <c r="F24" s="13" t="n">
        <v>24</v>
      </c>
      <c r="G24" s="13" t="n">
        <v>10</v>
      </c>
      <c r="H24" s="5" t="n">
        <v>1130392.68</v>
      </c>
      <c r="I24" s="5" t="n">
        <v>21400</v>
      </c>
      <c r="J24" s="6" t="n">
        <v>0.01893147432624918</v>
      </c>
      <c r="K24" s="13" t="n">
        <v>21</v>
      </c>
      <c r="L24" s="13" t="n">
        <v>1</v>
      </c>
    </row>
    <row r="25">
      <c r="A25" s="4" t="inlineStr">
        <is>
          <t>Весь отдел</t>
        </is>
      </c>
      <c r="B25" s="4" t="inlineStr">
        <is>
          <t>Декабрь 2023</t>
        </is>
      </c>
      <c r="C25" s="5" t="n">
        <v>2434794.91</v>
      </c>
      <c r="D25" s="5" t="n">
        <v>1325978.16</v>
      </c>
      <c r="E25" s="6" t="n">
        <v>0.5445954213860255</v>
      </c>
      <c r="F25" s="13" t="n">
        <v>40</v>
      </c>
      <c r="G25" s="13" t="n">
        <v>14</v>
      </c>
      <c r="H25" s="5" t="n">
        <v>735957.5</v>
      </c>
      <c r="I25" s="5" t="n">
        <v>114440</v>
      </c>
      <c r="J25" s="6" t="n">
        <v>0.1554981096055139</v>
      </c>
      <c r="K25" s="13" t="n">
        <v>14</v>
      </c>
      <c r="L25" s="13" t="n">
        <v>2</v>
      </c>
    </row>
    <row r="26">
      <c r="A26" s="4" t="inlineStr">
        <is>
          <t>Иванова Мария Сергеевна</t>
        </is>
      </c>
      <c r="B26" s="4" t="inlineStr">
        <is>
          <t>Январь 2023</t>
        </is>
      </c>
      <c r="C26" s="5" t="n">
        <v>2296595.71</v>
      </c>
      <c r="D26" s="5" t="n">
        <v>620231.92</v>
      </c>
      <c r="E26" s="6" t="n">
        <v>0.2700657835853922</v>
      </c>
      <c r="F26" s="13" t="n">
        <v>16</v>
      </c>
      <c r="G26" s="13" t="n">
        <v>4</v>
      </c>
      <c r="H26" s="5" t="n">
        <v>52240</v>
      </c>
      <c r="I26" s="5" t="n">
        <v>0</v>
      </c>
      <c r="J26" s="6" t="n">
        <v>0</v>
      </c>
      <c r="K26" s="13" t="n">
        <v>1</v>
      </c>
      <c r="L26" s="13" t="n">
        <v>0</v>
      </c>
    </row>
    <row r="27">
      <c r="A27" s="4" t="inlineStr">
        <is>
          <t>Иванова Мария Сергеевна</t>
        </is>
      </c>
      <c r="B27" s="4" t="inlineStr">
        <is>
          <t>Февраль 2023</t>
        </is>
      </c>
      <c r="C27" s="5" t="n">
        <v>0</v>
      </c>
      <c r="D27" s="5" t="n">
        <v>0</v>
      </c>
      <c r="E27" s="6" t="n">
        <v/>
      </c>
      <c r="F27" s="13" t="n">
        <v>0</v>
      </c>
      <c r="G27" s="13" t="n">
        <v>0</v>
      </c>
      <c r="H27" s="5" t="n">
        <v>1229435</v>
      </c>
      <c r="I27" s="5" t="n">
        <v>0</v>
      </c>
      <c r="J27" s="6" t="n">
        <v>0</v>
      </c>
      <c r="K27" s="13" t="n">
        <v>12</v>
      </c>
      <c r="L27" s="13" t="n">
        <v>0</v>
      </c>
    </row>
    <row r="28">
      <c r="A28" s="4" t="inlineStr">
        <is>
          <t>Иванова Мария Сергеевна</t>
        </is>
      </c>
      <c r="B28" s="4" t="inlineStr">
        <is>
          <t>Март 2023</t>
        </is>
      </c>
      <c r="C28" s="5" t="n">
        <v>229633.75</v>
      </c>
      <c r="D28" s="5" t="n">
        <v>102433.75</v>
      </c>
      <c r="E28" s="6" t="n">
        <v>0.4460744555188425</v>
      </c>
      <c r="F28" s="13" t="n">
        <v>4</v>
      </c>
      <c r="G28" s="13" t="n">
        <v>1</v>
      </c>
      <c r="H28" s="5" t="n">
        <v>0</v>
      </c>
      <c r="I28" s="5" t="n">
        <v>0</v>
      </c>
      <c r="J28" s="6" t="n">
        <v/>
      </c>
      <c r="K28" s="13" t="n">
        <v>0</v>
      </c>
      <c r="L28" s="13" t="n">
        <v>0</v>
      </c>
    </row>
    <row r="29">
      <c r="A29" s="4" t="inlineStr">
        <is>
          <t>Иванова Мария Сергеевна</t>
        </is>
      </c>
      <c r="B29" s="4" t="inlineStr">
        <is>
          <t>Апрель 2023</t>
        </is>
      </c>
      <c r="C29" s="5" t="n">
        <v>821973.75</v>
      </c>
      <c r="D29" s="5" t="n">
        <v>228248</v>
      </c>
      <c r="E29" s="6" t="n">
        <v>0.2776828335454751</v>
      </c>
      <c r="F29" s="13" t="n">
        <v>4</v>
      </c>
      <c r="G29" s="13" t="n">
        <v>2</v>
      </c>
      <c r="H29" s="5" t="n">
        <v>127200</v>
      </c>
      <c r="I29" s="5" t="n">
        <v>0</v>
      </c>
      <c r="J29" s="6" t="n">
        <v>0</v>
      </c>
      <c r="K29" s="13" t="n">
        <v>3</v>
      </c>
      <c r="L29" s="13" t="n">
        <v>0</v>
      </c>
    </row>
    <row r="30">
      <c r="A30" s="4" t="inlineStr">
        <is>
          <t>Иванова Мария Сергеевна</t>
        </is>
      </c>
      <c r="B30" s="4" t="inlineStr">
        <is>
          <t>Май 2023</t>
        </is>
      </c>
      <c r="C30" s="5" t="n">
        <v>138158</v>
      </c>
      <c r="D30" s="5" t="n">
        <v>138158</v>
      </c>
      <c r="E30" s="6" t="n">
        <v>1</v>
      </c>
      <c r="F30" s="13" t="n">
        <v>1</v>
      </c>
      <c r="G30" s="13" t="n">
        <v>1</v>
      </c>
      <c r="H30" s="5" t="n">
        <v>478740</v>
      </c>
      <c r="I30" s="5" t="n">
        <v>0</v>
      </c>
      <c r="J30" s="6" t="n">
        <v>0</v>
      </c>
      <c r="K30" s="13" t="n">
        <v>2</v>
      </c>
      <c r="L30" s="13" t="n">
        <v>0</v>
      </c>
    </row>
    <row r="31">
      <c r="A31" s="4" t="inlineStr">
        <is>
          <t>Иванова Мария Сергеевна</t>
        </is>
      </c>
      <c r="B31" s="4" t="inlineStr">
        <is>
          <t>Июнь 2023</t>
        </is>
      </c>
      <c r="C31" s="5" t="n">
        <v>306830</v>
      </c>
      <c r="D31" s="5" t="n">
        <v>0</v>
      </c>
      <c r="E31" s="6" t="n">
        <v>0</v>
      </c>
      <c r="F31" s="13" t="n">
        <v>7</v>
      </c>
      <c r="G31" s="13" t="n">
        <v>0</v>
      </c>
      <c r="H31" s="5" t="n">
        <v>0</v>
      </c>
      <c r="I31" s="5" t="n">
        <v>0</v>
      </c>
      <c r="J31" s="6" t="n">
        <v/>
      </c>
      <c r="K31" s="13" t="n">
        <v>0</v>
      </c>
      <c r="L31" s="13" t="n">
        <v>0</v>
      </c>
    </row>
    <row r="32">
      <c r="A32" s="4" t="inlineStr">
        <is>
          <t>Иванова Мария Сергеевна</t>
        </is>
      </c>
      <c r="B32" s="4" t="inlineStr">
        <is>
          <t>Июль 2023</t>
        </is>
      </c>
      <c r="C32" s="5" t="n">
        <v>424292.25</v>
      </c>
      <c r="D32" s="5" t="n">
        <v>200525</v>
      </c>
      <c r="E32" s="6" t="n">
        <v>0.4726105650056064</v>
      </c>
      <c r="F32" s="13" t="n">
        <v>6</v>
      </c>
      <c r="G32" s="13" t="n">
        <v>2</v>
      </c>
      <c r="H32" s="5" t="n">
        <v>306830</v>
      </c>
      <c r="I32" s="5" t="n">
        <v>0</v>
      </c>
      <c r="J32" s="6" t="n">
        <v>0</v>
      </c>
      <c r="K32" s="13" t="n">
        <v>7</v>
      </c>
      <c r="L32" s="13" t="n">
        <v>0</v>
      </c>
    </row>
    <row r="33">
      <c r="A33" s="4" t="inlineStr">
        <is>
          <t>Иванова Мария Сергеевна</t>
        </is>
      </c>
      <c r="B33" s="4" t="inlineStr">
        <is>
          <t>Август 2023</t>
        </is>
      </c>
      <c r="C33" s="5" t="n">
        <v>303433.7</v>
      </c>
      <c r="D33" s="5" t="n">
        <v>164058.88</v>
      </c>
      <c r="E33" s="6" t="n">
        <v>0.540674552628795</v>
      </c>
      <c r="F33" s="13" t="n">
        <v>5</v>
      </c>
      <c r="G33" s="13" t="n">
        <v>3</v>
      </c>
      <c r="H33" s="5" t="n">
        <v>270787.25</v>
      </c>
      <c r="I33" s="5" t="n">
        <v>0</v>
      </c>
      <c r="J33" s="6" t="n">
        <v>0</v>
      </c>
      <c r="K33" s="13" t="n">
        <v>4</v>
      </c>
      <c r="L33" s="13" t="n">
        <v>0</v>
      </c>
    </row>
    <row r="34">
      <c r="A34" s="4" t="inlineStr">
        <is>
          <t>Иванова Мария Сергеевна</t>
        </is>
      </c>
      <c r="B34" s="4" t="inlineStr">
        <is>
          <t>Сентябрь 2023</t>
        </is>
      </c>
      <c r="C34" s="5" t="n">
        <v>206740</v>
      </c>
      <c r="D34" s="5" t="n">
        <v>206440</v>
      </c>
      <c r="E34" s="6" t="n">
        <v>0.9985489020025152</v>
      </c>
      <c r="F34" s="13" t="n">
        <v>3</v>
      </c>
      <c r="G34" s="13" t="n">
        <v>2</v>
      </c>
      <c r="H34" s="5" t="n">
        <v>38632.5</v>
      </c>
      <c r="I34" s="5" t="n">
        <v>0</v>
      </c>
      <c r="J34" s="6" t="n">
        <v>0</v>
      </c>
      <c r="K34" s="13" t="n">
        <v>2</v>
      </c>
      <c r="L34" s="13" t="n">
        <v>0</v>
      </c>
    </row>
    <row r="35">
      <c r="A35" s="4" t="inlineStr">
        <is>
          <t>Иванова Мария Сергеевна</t>
        </is>
      </c>
      <c r="B35" s="4" t="inlineStr">
        <is>
          <t>Октябрь 2023</t>
        </is>
      </c>
      <c r="C35" s="5" t="n">
        <v>0</v>
      </c>
      <c r="D35" s="5" t="n">
        <v>0</v>
      </c>
      <c r="E35" s="6" t="n">
        <v/>
      </c>
      <c r="F35" s="13" t="n">
        <v>1</v>
      </c>
      <c r="G35" s="13" t="n">
        <v>0</v>
      </c>
      <c r="H35" s="5" t="n">
        <v>0</v>
      </c>
      <c r="I35" s="5" t="n">
        <v>0</v>
      </c>
      <c r="J35" s="6" t="n">
        <v/>
      </c>
      <c r="K35" s="13" t="n">
        <v>1</v>
      </c>
      <c r="L35" s="13" t="n">
        <v>0</v>
      </c>
    </row>
    <row r="36">
      <c r="A36" s="4" t="inlineStr">
        <is>
          <t>Иванова Мария Сергеевна</t>
        </is>
      </c>
      <c r="B36" s="4" t="inlineStr">
        <is>
          <t>Ноябрь 2023</t>
        </is>
      </c>
      <c r="C36" s="5" t="n">
        <v>0</v>
      </c>
      <c r="D36" s="5" t="n">
        <v>0</v>
      </c>
      <c r="E36" s="6" t="n">
        <v/>
      </c>
      <c r="F36" s="13" t="n">
        <v>0</v>
      </c>
      <c r="G36" s="13" t="n">
        <v>0</v>
      </c>
      <c r="H36" s="5" t="n">
        <v>0</v>
      </c>
      <c r="I36" s="5" t="n">
        <v>0</v>
      </c>
      <c r="J36" s="6" t="n">
        <v/>
      </c>
      <c r="K36" s="13" t="n">
        <v>1</v>
      </c>
      <c r="L36" s="13" t="n">
        <v>0</v>
      </c>
    </row>
    <row r="37">
      <c r="A37" s="4" t="inlineStr">
        <is>
          <t>Иванова Мария Сергеевна</t>
        </is>
      </c>
      <c r="B37" s="4" t="inlineStr">
        <is>
          <t>Декабрь 2023</t>
        </is>
      </c>
      <c r="C37" s="5" t="n">
        <v>0</v>
      </c>
      <c r="D37" s="5" t="n">
        <v>0</v>
      </c>
      <c r="E37" s="6" t="n">
        <v/>
      </c>
      <c r="F37" s="13" t="n">
        <v>0</v>
      </c>
      <c r="G37" s="13" t="n">
        <v>0</v>
      </c>
      <c r="H37" s="5" t="n">
        <v>0</v>
      </c>
      <c r="I37" s="5" t="n">
        <v>0</v>
      </c>
      <c r="J37" s="6" t="n">
        <v/>
      </c>
      <c r="K37" s="13" t="n">
        <v>0</v>
      </c>
      <c r="L37" s="13" t="n">
        <v>0</v>
      </c>
    </row>
    <row r="38">
      <c r="A38" s="4" t="inlineStr">
        <is>
          <t>Кузнецов Михаил Иванович</t>
        </is>
      </c>
      <c r="B38" s="4" t="inlineStr">
        <is>
          <t>Январь 2023</t>
        </is>
      </c>
      <c r="C38" s="5" t="n">
        <v>52335</v>
      </c>
      <c r="D38" s="5" t="n">
        <v>66255</v>
      </c>
      <c r="E38" s="6" t="n">
        <v>1.26597879048438</v>
      </c>
      <c r="F38" s="13" t="n">
        <v>1</v>
      </c>
      <c r="G38" s="13" t="n">
        <v>1</v>
      </c>
      <c r="H38" s="5" t="n">
        <v>0</v>
      </c>
      <c r="I38" s="5" t="n">
        <v>0</v>
      </c>
      <c r="J38" s="6" t="n">
        <v/>
      </c>
      <c r="K38" s="13" t="n">
        <v>0</v>
      </c>
      <c r="L38" s="13" t="n">
        <v>0</v>
      </c>
    </row>
    <row r="39">
      <c r="A39" s="4" t="inlineStr">
        <is>
          <t>Кузнецов Михаил Иванович</t>
        </is>
      </c>
      <c r="B39" s="4" t="inlineStr">
        <is>
          <t>Февраль 2023</t>
        </is>
      </c>
      <c r="C39" s="5" t="n">
        <v>66255</v>
      </c>
      <c r="D39" s="5" t="n">
        <v>56115</v>
      </c>
      <c r="E39" s="6" t="n">
        <v>0.8469549467964682</v>
      </c>
      <c r="F39" s="13" t="n">
        <v>2</v>
      </c>
      <c r="G39" s="13" t="n">
        <v>1</v>
      </c>
      <c r="H39" s="5" t="n">
        <v>0</v>
      </c>
      <c r="I39" s="5" t="n">
        <v>0</v>
      </c>
      <c r="J39" s="6" t="n">
        <v/>
      </c>
      <c r="K39" s="13" t="n">
        <v>0</v>
      </c>
      <c r="L39" s="13" t="n">
        <v>0</v>
      </c>
    </row>
    <row r="40">
      <c r="A40" s="4" t="inlineStr">
        <is>
          <t>Кузнецов Михаил Иванович</t>
        </is>
      </c>
      <c r="B40" s="4" t="inlineStr">
        <is>
          <t>Март 2023</t>
        </is>
      </c>
      <c r="C40" s="5" t="n">
        <v>0</v>
      </c>
      <c r="D40" s="5" t="n">
        <v>0</v>
      </c>
      <c r="E40" s="6" t="n">
        <v/>
      </c>
      <c r="F40" s="13" t="n">
        <v>1</v>
      </c>
      <c r="G40" s="13" t="n">
        <v>0</v>
      </c>
      <c r="H40" s="5" t="n">
        <v>0</v>
      </c>
      <c r="I40" s="5" t="n">
        <v>0</v>
      </c>
      <c r="J40" s="6" t="n">
        <v/>
      </c>
      <c r="K40" s="13" t="n">
        <v>1</v>
      </c>
      <c r="L40" s="13" t="n">
        <v>0</v>
      </c>
    </row>
    <row r="41">
      <c r="A41" s="4" t="inlineStr">
        <is>
          <t>Кузнецов Михаил Иванович</t>
        </is>
      </c>
      <c r="B41" s="4" t="inlineStr">
        <is>
          <t>Апрель 2023</t>
        </is>
      </c>
      <c r="C41" s="5" t="n">
        <v>1425</v>
      </c>
      <c r="D41" s="5" t="n">
        <v>0</v>
      </c>
      <c r="E41" s="6" t="n">
        <v>0</v>
      </c>
      <c r="F41" s="13" t="n">
        <v>1</v>
      </c>
      <c r="G41" s="13" t="n">
        <v>0</v>
      </c>
      <c r="H41" s="5" t="n">
        <v>0</v>
      </c>
      <c r="I41" s="5" t="n">
        <v>0</v>
      </c>
      <c r="J41" s="6" t="n">
        <v/>
      </c>
      <c r="K41" s="13" t="n">
        <v>1</v>
      </c>
      <c r="L41" s="13" t="n">
        <v>0</v>
      </c>
    </row>
    <row r="42">
      <c r="A42" s="4" t="inlineStr">
        <is>
          <t>Кузнецов Михаил Иванович</t>
        </is>
      </c>
      <c r="B42" s="4" t="inlineStr">
        <is>
          <t>Май 2023</t>
        </is>
      </c>
      <c r="C42" s="5" t="n">
        <v>0</v>
      </c>
      <c r="D42" s="5" t="n">
        <v>0</v>
      </c>
      <c r="E42" s="6" t="n">
        <v/>
      </c>
      <c r="F42" s="13" t="n">
        <v>0</v>
      </c>
      <c r="G42" s="13" t="n">
        <v>0</v>
      </c>
      <c r="H42" s="5" t="n">
        <v>1425</v>
      </c>
      <c r="I42" s="5" t="n">
        <v>0</v>
      </c>
      <c r="J42" s="6" t="n">
        <v>0</v>
      </c>
      <c r="K42" s="13" t="n">
        <v>1</v>
      </c>
      <c r="L42" s="13" t="n">
        <v>0</v>
      </c>
    </row>
    <row r="43">
      <c r="A43" s="4" t="inlineStr">
        <is>
          <t>Кузнецов Михаил Иванович</t>
        </is>
      </c>
      <c r="B43" s="4" t="inlineStr">
        <is>
          <t>Июнь 2023</t>
        </is>
      </c>
      <c r="C43" s="5" t="n">
        <v>0</v>
      </c>
      <c r="D43" s="5" t="n">
        <v>0</v>
      </c>
      <c r="E43" s="6" t="n">
        <v/>
      </c>
      <c r="F43" s="13" t="n">
        <v>0</v>
      </c>
      <c r="G43" s="13" t="n">
        <v>0</v>
      </c>
      <c r="H43" s="5" t="n">
        <v>0</v>
      </c>
      <c r="I43" s="5" t="n">
        <v>0</v>
      </c>
      <c r="J43" s="6" t="n">
        <v/>
      </c>
      <c r="K43" s="13" t="n">
        <v>0</v>
      </c>
      <c r="L43" s="13" t="n">
        <v>0</v>
      </c>
    </row>
    <row r="44">
      <c r="A44" s="4" t="inlineStr">
        <is>
          <t>Кузнецов Михаил Иванович</t>
        </is>
      </c>
      <c r="B44" s="4" t="inlineStr">
        <is>
          <t>Июль 2023</t>
        </is>
      </c>
      <c r="C44" s="5" t="n">
        <v>0</v>
      </c>
      <c r="D44" s="5" t="n">
        <v>0</v>
      </c>
      <c r="E44" s="6" t="n">
        <v/>
      </c>
      <c r="F44" s="13" t="n">
        <v>0</v>
      </c>
      <c r="G44" s="13" t="n">
        <v>0</v>
      </c>
      <c r="H44" s="5" t="n">
        <v>0</v>
      </c>
      <c r="I44" s="5" t="n">
        <v>0</v>
      </c>
      <c r="J44" s="6" t="n">
        <v/>
      </c>
      <c r="K44" s="13" t="n">
        <v>0</v>
      </c>
      <c r="L44" s="13" t="n">
        <v>0</v>
      </c>
    </row>
    <row r="45">
      <c r="A45" s="4" t="inlineStr">
        <is>
          <t>Кузнецов Михаил Иванович</t>
        </is>
      </c>
      <c r="B45" s="4" t="inlineStr">
        <is>
          <t>Август 2023</t>
        </is>
      </c>
      <c r="C45" s="5" t="n">
        <v>0</v>
      </c>
      <c r="D45" s="5" t="n">
        <v>0</v>
      </c>
      <c r="E45" s="6" t="n">
        <v/>
      </c>
      <c r="F45" s="13" t="n">
        <v>0</v>
      </c>
      <c r="G45" s="13" t="n">
        <v>0</v>
      </c>
      <c r="H45" s="5" t="n">
        <v>0</v>
      </c>
      <c r="I45" s="5" t="n">
        <v>0</v>
      </c>
      <c r="J45" s="6" t="n">
        <v/>
      </c>
      <c r="K45" s="13" t="n">
        <v>0</v>
      </c>
      <c r="L45" s="13" t="n">
        <v>0</v>
      </c>
    </row>
    <row r="46">
      <c r="A46" s="4" t="inlineStr">
        <is>
          <t>Кузнецов Михаил Иванович</t>
        </is>
      </c>
      <c r="B46" s="4" t="inlineStr">
        <is>
          <t>Сентябрь 2023</t>
        </is>
      </c>
      <c r="C46" s="5" t="n">
        <v>0</v>
      </c>
      <c r="D46" s="5" t="n">
        <v>0</v>
      </c>
      <c r="E46" s="6" t="n">
        <v/>
      </c>
      <c r="F46" s="13" t="n">
        <v>0</v>
      </c>
      <c r="G46" s="13" t="n">
        <v>0</v>
      </c>
      <c r="H46" s="5" t="n">
        <v>0</v>
      </c>
      <c r="I46" s="5" t="n">
        <v>0</v>
      </c>
      <c r="J46" s="6" t="n">
        <v/>
      </c>
      <c r="K46" s="13" t="n">
        <v>0</v>
      </c>
      <c r="L46" s="13" t="n">
        <v>0</v>
      </c>
    </row>
    <row r="47">
      <c r="A47" s="4" t="inlineStr">
        <is>
          <t>Кузнецов Михаил Иванович</t>
        </is>
      </c>
      <c r="B47" s="4" t="inlineStr">
        <is>
          <t>Октябрь 2023</t>
        </is>
      </c>
      <c r="C47" s="5" t="n">
        <v>43951.06</v>
      </c>
      <c r="D47" s="5" t="n">
        <v>57510.64</v>
      </c>
      <c r="E47" s="6" t="n">
        <v>1.308515426021579</v>
      </c>
      <c r="F47" s="13" t="n">
        <v>1</v>
      </c>
      <c r="G47" s="13" t="n">
        <v>1</v>
      </c>
      <c r="H47" s="5" t="n">
        <v>0</v>
      </c>
      <c r="I47" s="5" t="n">
        <v>0</v>
      </c>
      <c r="J47" s="6" t="n">
        <v/>
      </c>
      <c r="K47" s="13" t="n">
        <v>0</v>
      </c>
      <c r="L47" s="13" t="n">
        <v>0</v>
      </c>
    </row>
    <row r="48">
      <c r="A48" s="4" t="inlineStr">
        <is>
          <t>Кузнецов Михаил Иванович</t>
        </is>
      </c>
      <c r="B48" s="4" t="inlineStr">
        <is>
          <t>Ноябрь 2023</t>
        </is>
      </c>
      <c r="C48" s="5" t="n">
        <v>330376.47</v>
      </c>
      <c r="D48" s="5" t="n">
        <v>156480</v>
      </c>
      <c r="E48" s="6" t="n">
        <v>0.4736414793704891</v>
      </c>
      <c r="F48" s="13" t="n">
        <v>3</v>
      </c>
      <c r="G48" s="13" t="n">
        <v>2</v>
      </c>
      <c r="H48" s="5" t="n">
        <v>0</v>
      </c>
      <c r="I48" s="5" t="n">
        <v>0</v>
      </c>
      <c r="J48" s="6" t="n">
        <v/>
      </c>
      <c r="K48" s="13" t="n">
        <v>0</v>
      </c>
      <c r="L48" s="13" t="n">
        <v>0</v>
      </c>
    </row>
    <row r="49">
      <c r="A49" s="4" t="inlineStr">
        <is>
          <t>Кузнецов Михаил Иванович</t>
        </is>
      </c>
      <c r="B49" s="4" t="inlineStr">
        <is>
          <t>Декабрь 2023</t>
        </is>
      </c>
      <c r="C49" s="5" t="n">
        <v>488381.91</v>
      </c>
      <c r="D49" s="5" t="n">
        <v>133822.34</v>
      </c>
      <c r="E49" s="6" t="n">
        <v>0.2740116643550536</v>
      </c>
      <c r="F49" s="13" t="n">
        <v>6</v>
      </c>
      <c r="G49" s="13" t="n">
        <v>2</v>
      </c>
      <c r="H49" s="5" t="n">
        <v>166250</v>
      </c>
      <c r="I49" s="5" t="n">
        <v>0</v>
      </c>
      <c r="J49" s="6" t="n">
        <v>0</v>
      </c>
      <c r="K49" s="13" t="n">
        <v>1</v>
      </c>
      <c r="L49" s="13" t="n">
        <v>0</v>
      </c>
    </row>
    <row r="50">
      <c r="A50" s="4" t="inlineStr">
        <is>
          <t>Михайлов Андрей Сергеевич</t>
        </is>
      </c>
      <c r="B50" s="4" t="inlineStr">
        <is>
          <t>Январь 2023</t>
        </is>
      </c>
      <c r="C50" s="5" t="n">
        <v>641080.21</v>
      </c>
      <c r="D50" s="5" t="n">
        <v>441014.09</v>
      </c>
      <c r="E50" s="6" t="n">
        <v>0.6879234191303456</v>
      </c>
      <c r="F50" s="13" t="n">
        <v>10</v>
      </c>
      <c r="G50" s="13" t="n">
        <v>4</v>
      </c>
      <c r="H50" s="5" t="n">
        <v>41025</v>
      </c>
      <c r="I50" s="5" t="n">
        <v>0</v>
      </c>
      <c r="J50" s="6" t="n">
        <v>0</v>
      </c>
      <c r="K50" s="13" t="n">
        <v>2</v>
      </c>
      <c r="L50" s="13" t="n">
        <v>0</v>
      </c>
    </row>
    <row r="51">
      <c r="A51" s="4" t="inlineStr">
        <is>
          <t>Михайлов Андрей Сергеевич</t>
        </is>
      </c>
      <c r="B51" s="4" t="inlineStr">
        <is>
          <t>Февраль 2023</t>
        </is>
      </c>
      <c r="C51" s="5" t="n">
        <v>900420</v>
      </c>
      <c r="D51" s="5" t="n">
        <v>813660</v>
      </c>
      <c r="E51" s="6" t="n">
        <v>0.9036449656826814</v>
      </c>
      <c r="F51" s="13" t="n">
        <v>2</v>
      </c>
      <c r="G51" s="13" t="n">
        <v>2</v>
      </c>
      <c r="H51" s="5" t="n">
        <v>147140</v>
      </c>
      <c r="I51" s="5" t="n">
        <v>0</v>
      </c>
      <c r="J51" s="6" t="n">
        <v>0</v>
      </c>
      <c r="K51" s="13" t="n">
        <v>6</v>
      </c>
      <c r="L51" s="13" t="n">
        <v>0</v>
      </c>
    </row>
    <row r="52">
      <c r="A52" s="4" t="inlineStr">
        <is>
          <t>Михайлов Андрей Сергеевич</t>
        </is>
      </c>
      <c r="B52" s="4" t="inlineStr">
        <is>
          <t>Март 2023</t>
        </is>
      </c>
      <c r="C52" s="5" t="n">
        <v>5306.6</v>
      </c>
      <c r="D52" s="5" t="n">
        <v>12898.1</v>
      </c>
      <c r="E52" s="6" t="n">
        <v>2.430577017299212</v>
      </c>
      <c r="F52" s="13" t="n">
        <v>1</v>
      </c>
      <c r="G52" s="13" t="n">
        <v>1</v>
      </c>
      <c r="H52" s="5" t="n">
        <v>0</v>
      </c>
      <c r="I52" s="5" t="n">
        <v>0</v>
      </c>
      <c r="J52" s="6" t="n">
        <v/>
      </c>
      <c r="K52" s="13" t="n">
        <v>0</v>
      </c>
      <c r="L52" s="13" t="n">
        <v>0</v>
      </c>
    </row>
    <row r="53">
      <c r="A53" s="4" t="inlineStr">
        <is>
          <t>Михайлов Андрей Сергеевич</t>
        </is>
      </c>
      <c r="B53" s="4" t="inlineStr">
        <is>
          <t>Апрель 2023</t>
        </is>
      </c>
      <c r="C53" s="5" t="n">
        <v>77937.10000000001</v>
      </c>
      <c r="D53" s="5" t="n">
        <v>85640.35000000001</v>
      </c>
      <c r="E53" s="6" t="n">
        <v>1.098839320426344</v>
      </c>
      <c r="F53" s="13" t="n">
        <v>2</v>
      </c>
      <c r="G53" s="13" t="n">
        <v>2</v>
      </c>
      <c r="H53" s="5" t="n">
        <v>0</v>
      </c>
      <c r="I53" s="5" t="n">
        <v>0</v>
      </c>
      <c r="J53" s="6" t="n">
        <v/>
      </c>
      <c r="K53" s="13" t="n">
        <v>0</v>
      </c>
      <c r="L53" s="13" t="n">
        <v>0</v>
      </c>
    </row>
    <row r="54">
      <c r="A54" s="4" t="inlineStr">
        <is>
          <t>Михайлов Андрей Сергеевич</t>
        </is>
      </c>
      <c r="B54" s="4" t="inlineStr">
        <is>
          <t>Май 2023</t>
        </is>
      </c>
      <c r="C54" s="5" t="n">
        <v>410460</v>
      </c>
      <c r="D54" s="5" t="n">
        <v>488289.75</v>
      </c>
      <c r="E54" s="6" t="n">
        <v>1.189615918725333</v>
      </c>
      <c r="F54" s="13" t="n">
        <v>3</v>
      </c>
      <c r="G54" s="13" t="n">
        <v>2</v>
      </c>
      <c r="H54" s="5" t="n">
        <v>0</v>
      </c>
      <c r="I54" s="5" t="n">
        <v>0</v>
      </c>
      <c r="J54" s="6" t="n">
        <v/>
      </c>
      <c r="K54" s="13" t="n">
        <v>0</v>
      </c>
      <c r="L54" s="13" t="n">
        <v>0</v>
      </c>
    </row>
    <row r="55">
      <c r="A55" s="4" t="inlineStr">
        <is>
          <t>Михайлов Андрей Сергеевич</t>
        </is>
      </c>
      <c r="B55" s="4" t="inlineStr">
        <is>
          <t>Июнь 2023</t>
        </is>
      </c>
      <c r="C55" s="5" t="n">
        <v>196925.18</v>
      </c>
      <c r="D55" s="5" t="n">
        <v>0</v>
      </c>
      <c r="E55" s="6" t="n">
        <v>0</v>
      </c>
      <c r="F55" s="13" t="n">
        <v>1</v>
      </c>
      <c r="G55" s="13" t="n">
        <v>0</v>
      </c>
      <c r="H55" s="5" t="n">
        <v>0</v>
      </c>
      <c r="I55" s="5" t="n">
        <v>0</v>
      </c>
      <c r="J55" s="6" t="n">
        <v/>
      </c>
      <c r="K55" s="13" t="n">
        <v>1</v>
      </c>
      <c r="L55" s="13" t="n">
        <v>0</v>
      </c>
    </row>
    <row r="56">
      <c r="A56" s="4" t="inlineStr">
        <is>
          <t>Михайлов Андрей Сергеевич</t>
        </is>
      </c>
      <c r="B56" s="4" t="inlineStr">
        <is>
          <t>Июль 2023</t>
        </is>
      </c>
      <c r="C56" s="5" t="n">
        <v>79180</v>
      </c>
      <c r="D56" s="5" t="n">
        <v>94820</v>
      </c>
      <c r="E56" s="6" t="n">
        <v>1.197524627431169</v>
      </c>
      <c r="F56" s="13" t="n">
        <v>1</v>
      </c>
      <c r="G56" s="13" t="n">
        <v>1</v>
      </c>
      <c r="H56" s="5" t="n">
        <v>196925.18</v>
      </c>
      <c r="I56" s="5" t="n">
        <v>0</v>
      </c>
      <c r="J56" s="6" t="n">
        <v>0</v>
      </c>
      <c r="K56" s="13" t="n">
        <v>1</v>
      </c>
      <c r="L56" s="13" t="n">
        <v>0</v>
      </c>
    </row>
    <row r="57">
      <c r="A57" s="4" t="inlineStr">
        <is>
          <t>Михайлов Андрей Сергеевич</t>
        </is>
      </c>
      <c r="B57" s="4" t="inlineStr">
        <is>
          <t>Август 2023</t>
        </is>
      </c>
      <c r="C57" s="5" t="n">
        <v>0</v>
      </c>
      <c r="D57" s="5" t="n">
        <v>0</v>
      </c>
      <c r="E57" s="6" t="n">
        <v/>
      </c>
      <c r="F57" s="13" t="n">
        <v>0</v>
      </c>
      <c r="G57" s="13" t="n">
        <v>0</v>
      </c>
      <c r="H57" s="5" t="n">
        <v>0</v>
      </c>
      <c r="I57" s="5" t="n">
        <v>0</v>
      </c>
      <c r="J57" s="6" t="n">
        <v/>
      </c>
      <c r="K57" s="13" t="n">
        <v>0</v>
      </c>
      <c r="L57" s="13" t="n">
        <v>0</v>
      </c>
    </row>
    <row r="58">
      <c r="A58" s="4" t="inlineStr">
        <is>
          <t>Михайлов Андрей Сергеевич</t>
        </is>
      </c>
      <c r="B58" s="4" t="inlineStr">
        <is>
          <t>Сентябрь 2023</t>
        </is>
      </c>
      <c r="C58" s="5" t="n">
        <v>333853.75</v>
      </c>
      <c r="D58" s="5" t="n">
        <v>0</v>
      </c>
      <c r="E58" s="6" t="n">
        <v>0</v>
      </c>
      <c r="F58" s="13" t="n">
        <v>1</v>
      </c>
      <c r="G58" s="13" t="n">
        <v>0</v>
      </c>
      <c r="H58" s="5" t="n">
        <v>0</v>
      </c>
      <c r="I58" s="5" t="n">
        <v>0</v>
      </c>
      <c r="J58" s="6" t="n">
        <v/>
      </c>
      <c r="K58" s="13" t="n">
        <v>0</v>
      </c>
      <c r="L58" s="13" t="n">
        <v>0</v>
      </c>
    </row>
    <row r="59">
      <c r="A59" s="4" t="inlineStr">
        <is>
          <t>Михайлов Андрей Сергеевич</t>
        </is>
      </c>
      <c r="B59" s="4" t="inlineStr">
        <is>
          <t>Октябрь 2023</t>
        </is>
      </c>
      <c r="C59" s="5" t="n">
        <v>666030.75</v>
      </c>
      <c r="D59" s="5" t="n">
        <v>299100</v>
      </c>
      <c r="E59" s="6" t="n">
        <v>0.4490783646250567</v>
      </c>
      <c r="F59" s="13" t="n">
        <v>4</v>
      </c>
      <c r="G59" s="13" t="n">
        <v>2</v>
      </c>
      <c r="H59" s="5" t="n">
        <v>333853.75</v>
      </c>
      <c r="I59" s="5" t="n">
        <v>0</v>
      </c>
      <c r="J59" s="6" t="n">
        <v>0</v>
      </c>
      <c r="K59" s="13" t="n">
        <v>1</v>
      </c>
      <c r="L59" s="13" t="n">
        <v>0</v>
      </c>
    </row>
    <row r="60">
      <c r="A60" s="4" t="inlineStr">
        <is>
          <t>Михайлов Андрей Сергеевич</t>
        </is>
      </c>
      <c r="B60" s="4" t="inlineStr">
        <is>
          <t>Ноябрь 2023</t>
        </is>
      </c>
      <c r="C60" s="5" t="n">
        <v>0</v>
      </c>
      <c r="D60" s="5" t="n">
        <v>0</v>
      </c>
      <c r="E60" s="6" t="n">
        <v/>
      </c>
      <c r="F60" s="13" t="n">
        <v>0</v>
      </c>
      <c r="G60" s="13" t="n">
        <v>0</v>
      </c>
      <c r="H60" s="5" t="n">
        <v>337060.75</v>
      </c>
      <c r="I60" s="5" t="n">
        <v>0</v>
      </c>
      <c r="J60" s="6" t="n">
        <v>0</v>
      </c>
      <c r="K60" s="13" t="n">
        <v>2</v>
      </c>
      <c r="L60" s="13" t="n">
        <v>0</v>
      </c>
    </row>
    <row r="61">
      <c r="A61" s="4" t="inlineStr">
        <is>
          <t>Михайлов Андрей Сергеевич</t>
        </is>
      </c>
      <c r="B61" s="4" t="inlineStr">
        <is>
          <t>Декабрь 2023</t>
        </is>
      </c>
      <c r="C61" s="5" t="n">
        <v>50640</v>
      </c>
      <c r="D61" s="5" t="n">
        <v>0</v>
      </c>
      <c r="E61" s="6" t="n">
        <v>0</v>
      </c>
      <c r="F61" s="13" t="n">
        <v>1</v>
      </c>
      <c r="G61" s="13" t="n">
        <v>0</v>
      </c>
      <c r="H61" s="5" t="n">
        <v>0</v>
      </c>
      <c r="I61" s="5" t="n">
        <v>0</v>
      </c>
      <c r="J61" s="6" t="n">
        <v/>
      </c>
      <c r="K61" s="13" t="n">
        <v>0</v>
      </c>
      <c r="L61" s="13" t="n">
        <v>0</v>
      </c>
    </row>
    <row r="62">
      <c r="A62" s="4" t="inlineStr">
        <is>
          <t>Петрова Анна Дмитриевна</t>
        </is>
      </c>
      <c r="B62" s="4" t="inlineStr">
        <is>
          <t>Январь 2023</t>
        </is>
      </c>
      <c r="C62" s="5" t="n">
        <v>0</v>
      </c>
      <c r="D62" s="5" t="n">
        <v>0</v>
      </c>
      <c r="E62" s="6" t="n">
        <v/>
      </c>
      <c r="F62" s="13" t="n">
        <v>0</v>
      </c>
      <c r="G62" s="13" t="n">
        <v>0</v>
      </c>
      <c r="H62" s="5" t="n">
        <v>0</v>
      </c>
      <c r="I62" s="5" t="n">
        <v>0</v>
      </c>
      <c r="J62" s="6" t="n">
        <v/>
      </c>
      <c r="K62" s="13" t="n">
        <v>0</v>
      </c>
      <c r="L62" s="13" t="n">
        <v>0</v>
      </c>
    </row>
    <row r="63">
      <c r="A63" s="4" t="inlineStr">
        <is>
          <t>Петрова Анна Дмитриевна</t>
        </is>
      </c>
      <c r="B63" s="4" t="inlineStr">
        <is>
          <t>Февраль 2023</t>
        </is>
      </c>
      <c r="C63" s="5" t="n">
        <v>0</v>
      </c>
      <c r="D63" s="5" t="n">
        <v>0</v>
      </c>
      <c r="E63" s="6" t="n">
        <v/>
      </c>
      <c r="F63" s="13" t="n">
        <v>0</v>
      </c>
      <c r="G63" s="13" t="n">
        <v>0</v>
      </c>
      <c r="H63" s="5" t="n">
        <v>0</v>
      </c>
      <c r="I63" s="5" t="n">
        <v>0</v>
      </c>
      <c r="J63" s="6" t="n">
        <v/>
      </c>
      <c r="K63" s="13" t="n">
        <v>0</v>
      </c>
      <c r="L63" s="13" t="n">
        <v>0</v>
      </c>
    </row>
    <row r="64">
      <c r="A64" s="4" t="inlineStr">
        <is>
          <t>Петрова Анна Дмитриевна</t>
        </is>
      </c>
      <c r="B64" s="4" t="inlineStr">
        <is>
          <t>Март 2023</t>
        </is>
      </c>
      <c r="C64" s="5" t="n">
        <v>0</v>
      </c>
      <c r="D64" s="5" t="n">
        <v>0</v>
      </c>
      <c r="E64" s="6" t="n">
        <v/>
      </c>
      <c r="F64" s="13" t="n">
        <v>0</v>
      </c>
      <c r="G64" s="13" t="n">
        <v>0</v>
      </c>
      <c r="H64" s="5" t="n">
        <v>0</v>
      </c>
      <c r="I64" s="5" t="n">
        <v>0</v>
      </c>
      <c r="J64" s="6" t="n">
        <v/>
      </c>
      <c r="K64" s="13" t="n">
        <v>0</v>
      </c>
      <c r="L64" s="13" t="n">
        <v>0</v>
      </c>
    </row>
    <row r="65">
      <c r="A65" s="4" t="inlineStr">
        <is>
          <t>Петрова Анна Дмитриевна</t>
        </is>
      </c>
      <c r="B65" s="4" t="inlineStr">
        <is>
          <t>Апрель 2023</t>
        </is>
      </c>
      <c r="C65" s="5" t="n">
        <v>0</v>
      </c>
      <c r="D65" s="5" t="n">
        <v>0</v>
      </c>
      <c r="E65" s="6" t="n">
        <v/>
      </c>
      <c r="F65" s="13" t="n">
        <v>0</v>
      </c>
      <c r="G65" s="13" t="n">
        <v>0</v>
      </c>
      <c r="H65" s="5" t="n">
        <v>0</v>
      </c>
      <c r="I65" s="5" t="n">
        <v>0</v>
      </c>
      <c r="J65" s="6" t="n">
        <v/>
      </c>
      <c r="K65" s="13" t="n">
        <v>0</v>
      </c>
      <c r="L65" s="13" t="n">
        <v>0</v>
      </c>
    </row>
    <row r="66">
      <c r="A66" s="4" t="inlineStr">
        <is>
          <t>Петрова Анна Дмитриевна</t>
        </is>
      </c>
      <c r="B66" s="4" t="inlineStr">
        <is>
          <t>Май 2023</t>
        </is>
      </c>
      <c r="C66" s="5" t="n">
        <v>0</v>
      </c>
      <c r="D66" s="5" t="n">
        <v>0</v>
      </c>
      <c r="E66" s="6" t="n">
        <v/>
      </c>
      <c r="F66" s="13" t="n">
        <v>0</v>
      </c>
      <c r="G66" s="13" t="n">
        <v>0</v>
      </c>
      <c r="H66" s="5" t="n">
        <v>0</v>
      </c>
      <c r="I66" s="5" t="n">
        <v>0</v>
      </c>
      <c r="J66" s="6" t="n">
        <v/>
      </c>
      <c r="K66" s="13" t="n">
        <v>0</v>
      </c>
      <c r="L66" s="13" t="n">
        <v>0</v>
      </c>
    </row>
    <row r="67">
      <c r="A67" s="4" t="inlineStr">
        <is>
          <t>Петрова Анна Дмитриевна</t>
        </is>
      </c>
      <c r="B67" s="4" t="inlineStr">
        <is>
          <t>Июнь 2023</t>
        </is>
      </c>
      <c r="C67" s="5" t="n">
        <v>0</v>
      </c>
      <c r="D67" s="5" t="n">
        <v>0</v>
      </c>
      <c r="E67" s="6" t="n">
        <v/>
      </c>
      <c r="F67" s="13" t="n">
        <v>0</v>
      </c>
      <c r="G67" s="13" t="n">
        <v>0</v>
      </c>
      <c r="H67" s="5" t="n">
        <v>0</v>
      </c>
      <c r="I67" s="5" t="n">
        <v>0</v>
      </c>
      <c r="J67" s="6" t="n">
        <v/>
      </c>
      <c r="K67" s="13" t="n">
        <v>0</v>
      </c>
      <c r="L67" s="13" t="n">
        <v>0</v>
      </c>
    </row>
    <row r="68">
      <c r="A68" s="4" t="inlineStr">
        <is>
          <t>Петрова Анна Дмитриевна</t>
        </is>
      </c>
      <c r="B68" s="4" t="inlineStr">
        <is>
          <t>Июль 2023</t>
        </is>
      </c>
      <c r="C68" s="5" t="n">
        <v>0</v>
      </c>
      <c r="D68" s="5" t="n">
        <v>0</v>
      </c>
      <c r="E68" s="6" t="n">
        <v/>
      </c>
      <c r="F68" s="13" t="n">
        <v>0</v>
      </c>
      <c r="G68" s="13" t="n">
        <v>0</v>
      </c>
      <c r="H68" s="5" t="n">
        <v>0</v>
      </c>
      <c r="I68" s="5" t="n">
        <v>0</v>
      </c>
      <c r="J68" s="6" t="n">
        <v/>
      </c>
      <c r="K68" s="13" t="n">
        <v>0</v>
      </c>
      <c r="L68" s="13" t="n">
        <v>0</v>
      </c>
    </row>
    <row r="69">
      <c r="A69" s="4" t="inlineStr">
        <is>
          <t>Петрова Анна Дмитриевна</t>
        </is>
      </c>
      <c r="B69" s="4" t="inlineStr">
        <is>
          <t>Август 2023</t>
        </is>
      </c>
      <c r="C69" s="5" t="n">
        <v>0</v>
      </c>
      <c r="D69" s="5" t="n">
        <v>0</v>
      </c>
      <c r="E69" s="6" t="n">
        <v/>
      </c>
      <c r="F69" s="13" t="n">
        <v>0</v>
      </c>
      <c r="G69" s="13" t="n">
        <v>0</v>
      </c>
      <c r="H69" s="5" t="n">
        <v>0</v>
      </c>
      <c r="I69" s="5" t="n">
        <v>0</v>
      </c>
      <c r="J69" s="6" t="n">
        <v/>
      </c>
      <c r="K69" s="13" t="n">
        <v>0</v>
      </c>
      <c r="L69" s="13" t="n">
        <v>0</v>
      </c>
    </row>
    <row r="70">
      <c r="A70" s="4" t="inlineStr">
        <is>
          <t>Петрова Анна Дмитриевна</t>
        </is>
      </c>
      <c r="B70" s="4" t="inlineStr">
        <is>
          <t>Сентябрь 2023</t>
        </is>
      </c>
      <c r="C70" s="5" t="n">
        <v>0</v>
      </c>
      <c r="D70" s="5" t="n">
        <v>0</v>
      </c>
      <c r="E70" s="6" t="n">
        <v/>
      </c>
      <c r="F70" s="13" t="n">
        <v>0</v>
      </c>
      <c r="G70" s="13" t="n">
        <v>0</v>
      </c>
      <c r="H70" s="5" t="n">
        <v>0</v>
      </c>
      <c r="I70" s="5" t="n">
        <v>0</v>
      </c>
      <c r="J70" s="6" t="n">
        <v/>
      </c>
      <c r="K70" s="13" t="n">
        <v>0</v>
      </c>
      <c r="L70" s="13" t="n">
        <v>0</v>
      </c>
    </row>
    <row r="71">
      <c r="A71" s="4" t="inlineStr">
        <is>
          <t>Петрова Анна Дмитриевна</t>
        </is>
      </c>
      <c r="B71" s="4" t="inlineStr">
        <is>
          <t>Октябрь 2023</t>
        </is>
      </c>
      <c r="C71" s="5" t="n">
        <v>0</v>
      </c>
      <c r="D71" s="5" t="n">
        <v>0</v>
      </c>
      <c r="E71" s="6" t="n">
        <v/>
      </c>
      <c r="F71" s="13" t="n">
        <v>0</v>
      </c>
      <c r="G71" s="13" t="n">
        <v>0</v>
      </c>
      <c r="H71" s="5" t="n">
        <v>0</v>
      </c>
      <c r="I71" s="5" t="n">
        <v>0</v>
      </c>
      <c r="J71" s="6" t="n">
        <v/>
      </c>
      <c r="K71" s="13" t="n">
        <v>0</v>
      </c>
      <c r="L71" s="13" t="n">
        <v>0</v>
      </c>
    </row>
    <row r="72">
      <c r="A72" s="4" t="inlineStr">
        <is>
          <t>Петрова Анна Дмитриевна</t>
        </is>
      </c>
      <c r="B72" s="4" t="inlineStr">
        <is>
          <t>Ноябрь 2023</t>
        </is>
      </c>
      <c r="C72" s="5" t="n">
        <v>0</v>
      </c>
      <c r="D72" s="5" t="n">
        <v>0</v>
      </c>
      <c r="E72" s="6" t="n">
        <v/>
      </c>
      <c r="F72" s="13" t="n">
        <v>0</v>
      </c>
      <c r="G72" s="13" t="n">
        <v>0</v>
      </c>
      <c r="H72" s="5" t="n">
        <v>0</v>
      </c>
      <c r="I72" s="5" t="n">
        <v>0</v>
      </c>
      <c r="J72" s="6" t="n">
        <v/>
      </c>
      <c r="K72" s="13" t="n">
        <v>0</v>
      </c>
      <c r="L72" s="13" t="n">
        <v>0</v>
      </c>
    </row>
    <row r="73">
      <c r="A73" s="4" t="inlineStr">
        <is>
          <t>Петрова Анна Дмитриевна</t>
        </is>
      </c>
      <c r="B73" s="4" t="inlineStr">
        <is>
          <t>Декабрь 2023</t>
        </is>
      </c>
      <c r="C73" s="5" t="n">
        <v>98492</v>
      </c>
      <c r="D73" s="5" t="n">
        <v>109442.52</v>
      </c>
      <c r="E73" s="6" t="n">
        <v>1.111181821873858</v>
      </c>
      <c r="F73" s="13" t="n">
        <v>1</v>
      </c>
      <c r="G73" s="13" t="n">
        <v>1</v>
      </c>
      <c r="H73" s="5" t="n">
        <v>0</v>
      </c>
      <c r="I73" s="5" t="n">
        <v>0</v>
      </c>
      <c r="J73" s="6" t="n">
        <v/>
      </c>
      <c r="K73" s="13" t="n">
        <v>0</v>
      </c>
      <c r="L73" s="13" t="n">
        <v>0</v>
      </c>
    </row>
    <row r="74">
      <c r="A74" s="4" t="inlineStr">
        <is>
          <t>Попова Екатерина Николаевна</t>
        </is>
      </c>
      <c r="B74" s="4" t="inlineStr">
        <is>
          <t>Январь 2023</t>
        </is>
      </c>
      <c r="C74" s="5" t="n">
        <v>242070</v>
      </c>
      <c r="D74" s="5" t="n">
        <v>106675</v>
      </c>
      <c r="E74" s="6" t="n">
        <v>0.440678316189532</v>
      </c>
      <c r="F74" s="13" t="n">
        <v>6</v>
      </c>
      <c r="G74" s="13" t="n">
        <v>2</v>
      </c>
      <c r="H74" s="5" t="n">
        <v>82800</v>
      </c>
      <c r="I74" s="5" t="n">
        <v>0</v>
      </c>
      <c r="J74" s="6" t="n">
        <v>0</v>
      </c>
      <c r="K74" s="13" t="n">
        <v>1</v>
      </c>
      <c r="L74" s="13" t="n">
        <v>0</v>
      </c>
    </row>
    <row r="75">
      <c r="A75" s="4" t="inlineStr">
        <is>
          <t>Попова Екатерина Николаевна</t>
        </is>
      </c>
      <c r="B75" s="4" t="inlineStr">
        <is>
          <t>Февраль 2023</t>
        </is>
      </c>
      <c r="C75" s="5" t="n">
        <v>193877</v>
      </c>
      <c r="D75" s="5" t="n">
        <v>0</v>
      </c>
      <c r="E75" s="6" t="n">
        <v>0</v>
      </c>
      <c r="F75" s="13" t="n">
        <v>4</v>
      </c>
      <c r="G75" s="13" t="n">
        <v>0</v>
      </c>
      <c r="H75" s="5" t="n">
        <v>137125</v>
      </c>
      <c r="I75" s="5" t="n">
        <v>0</v>
      </c>
      <c r="J75" s="6" t="n">
        <v>0</v>
      </c>
      <c r="K75" s="13" t="n">
        <v>4</v>
      </c>
      <c r="L75" s="13" t="n">
        <v>0</v>
      </c>
    </row>
    <row r="76">
      <c r="A76" s="4" t="inlineStr">
        <is>
          <t>Попова Екатерина Николаевна</t>
        </is>
      </c>
      <c r="B76" s="4" t="inlineStr">
        <is>
          <t>Март 2023</t>
        </is>
      </c>
      <c r="C76" s="5" t="n">
        <v>382865</v>
      </c>
      <c r="D76" s="5" t="n">
        <v>262080</v>
      </c>
      <c r="E76" s="6" t="n">
        <v>0.6845232653807478</v>
      </c>
      <c r="F76" s="13" t="n">
        <v>7</v>
      </c>
      <c r="G76" s="13" t="n">
        <v>3</v>
      </c>
      <c r="H76" s="5" t="n">
        <v>193877</v>
      </c>
      <c r="I76" s="5" t="n">
        <v>0</v>
      </c>
      <c r="J76" s="6" t="n">
        <v>0</v>
      </c>
      <c r="K76" s="13" t="n">
        <v>4</v>
      </c>
      <c r="L76" s="13" t="n">
        <v>0</v>
      </c>
    </row>
    <row r="77">
      <c r="A77" s="4" t="inlineStr">
        <is>
          <t>Попова Екатерина Николаевна</t>
        </is>
      </c>
      <c r="B77" s="4" t="inlineStr">
        <is>
          <t>Апрель 2023</t>
        </is>
      </c>
      <c r="C77" s="5" t="n">
        <v>383845</v>
      </c>
      <c r="D77" s="5" t="n">
        <v>111070</v>
      </c>
      <c r="E77" s="6" t="n">
        <v>0.2893615912673084</v>
      </c>
      <c r="F77" s="13" t="n">
        <v>7</v>
      </c>
      <c r="G77" s="13" t="n">
        <v>2</v>
      </c>
      <c r="H77" s="5" t="n">
        <v>92925</v>
      </c>
      <c r="I77" s="5" t="n">
        <v>17740</v>
      </c>
      <c r="J77" s="6" t="n">
        <v>0.1909066451439333</v>
      </c>
      <c r="K77" s="13" t="n">
        <v>4</v>
      </c>
      <c r="L77" s="13" t="n">
        <v>1</v>
      </c>
    </row>
    <row r="78">
      <c r="A78" s="4" t="inlineStr">
        <is>
          <t>Попова Екатерина Николаевна</t>
        </is>
      </c>
      <c r="B78" s="4" t="inlineStr">
        <is>
          <t>Май 2023</t>
        </is>
      </c>
      <c r="C78" s="5" t="n">
        <v>464365</v>
      </c>
      <c r="D78" s="5" t="n">
        <v>351500</v>
      </c>
      <c r="E78" s="6" t="n">
        <v>0.7569476597073422</v>
      </c>
      <c r="F78" s="13" t="n">
        <v>8</v>
      </c>
      <c r="G78" s="13" t="n">
        <v>6</v>
      </c>
      <c r="H78" s="5" t="n">
        <v>261895</v>
      </c>
      <c r="I78" s="5" t="n">
        <v>0</v>
      </c>
      <c r="J78" s="6" t="n">
        <v>0</v>
      </c>
      <c r="K78" s="13" t="n">
        <v>5</v>
      </c>
      <c r="L78" s="13" t="n">
        <v>0</v>
      </c>
    </row>
    <row r="79">
      <c r="A79" s="4" t="inlineStr">
        <is>
          <t>Попова Екатерина Николаевна</t>
        </is>
      </c>
      <c r="B79" s="4" t="inlineStr">
        <is>
          <t>Июнь 2023</t>
        </is>
      </c>
      <c r="C79" s="5" t="n">
        <v>76910</v>
      </c>
      <c r="D79" s="5" t="n">
        <v>0</v>
      </c>
      <c r="E79" s="6" t="n">
        <v>0</v>
      </c>
      <c r="F79" s="13" t="n">
        <v>3</v>
      </c>
      <c r="G79" s="13" t="n">
        <v>0</v>
      </c>
      <c r="H79" s="5" t="n">
        <v>131860</v>
      </c>
      <c r="I79" s="5" t="n">
        <v>0</v>
      </c>
      <c r="J79" s="6" t="n">
        <v>0</v>
      </c>
      <c r="K79" s="13" t="n">
        <v>2</v>
      </c>
      <c r="L79" s="13" t="n">
        <v>0</v>
      </c>
    </row>
    <row r="80">
      <c r="A80" s="4" t="inlineStr">
        <is>
          <t>Попова Екатерина Николаевна</t>
        </is>
      </c>
      <c r="B80" s="4" t="inlineStr">
        <is>
          <t>Июль 2023</t>
        </is>
      </c>
      <c r="C80" s="5" t="n">
        <v>320660</v>
      </c>
      <c r="D80" s="5" t="n">
        <v>30800</v>
      </c>
      <c r="E80" s="6" t="n">
        <v>0.09605189297074783</v>
      </c>
      <c r="F80" s="13" t="n">
        <v>4</v>
      </c>
      <c r="G80" s="13" t="n">
        <v>1</v>
      </c>
      <c r="H80" s="5" t="n">
        <v>76910</v>
      </c>
      <c r="I80" s="5" t="n">
        <v>38900</v>
      </c>
      <c r="J80" s="6" t="n">
        <v>0.5057859836172149</v>
      </c>
      <c r="K80" s="13" t="n">
        <v>3</v>
      </c>
      <c r="L80" s="13" t="n">
        <v>1</v>
      </c>
    </row>
    <row r="81">
      <c r="A81" s="4" t="inlineStr">
        <is>
          <t>Попова Екатерина Николаевна</t>
        </is>
      </c>
      <c r="B81" s="4" t="inlineStr">
        <is>
          <t>Август 2023</t>
        </is>
      </c>
      <c r="C81" s="5" t="n">
        <v>225280</v>
      </c>
      <c r="D81" s="5" t="n">
        <v>108120</v>
      </c>
      <c r="E81" s="6" t="n">
        <v>0.4799360795454545</v>
      </c>
      <c r="F81" s="13" t="n">
        <v>4</v>
      </c>
      <c r="G81" s="13" t="n">
        <v>2</v>
      </c>
      <c r="H81" s="5" t="n">
        <v>276495</v>
      </c>
      <c r="I81" s="5" t="n">
        <v>0</v>
      </c>
      <c r="J81" s="6" t="n">
        <v>0</v>
      </c>
      <c r="K81" s="13" t="n">
        <v>3</v>
      </c>
      <c r="L81" s="13" t="n">
        <v>0</v>
      </c>
    </row>
    <row r="82">
      <c r="A82" s="4" t="inlineStr">
        <is>
          <t>Попова Екатерина Николаевна</t>
        </is>
      </c>
      <c r="B82" s="4" t="inlineStr">
        <is>
          <t>Сентябрь 2023</t>
        </is>
      </c>
      <c r="C82" s="5" t="n">
        <v>491095</v>
      </c>
      <c r="D82" s="5" t="n">
        <v>223145</v>
      </c>
      <c r="E82" s="6" t="n">
        <v>0.4543825532738065</v>
      </c>
      <c r="F82" s="13" t="n">
        <v>4</v>
      </c>
      <c r="G82" s="13" t="n">
        <v>1</v>
      </c>
      <c r="H82" s="5" t="n">
        <v>121555</v>
      </c>
      <c r="I82" s="5" t="n">
        <v>0</v>
      </c>
      <c r="J82" s="6" t="n">
        <v>0</v>
      </c>
      <c r="K82" s="13" t="n">
        <v>2</v>
      </c>
      <c r="L82" s="13" t="n">
        <v>0</v>
      </c>
    </row>
    <row r="83">
      <c r="A83" s="4" t="inlineStr">
        <is>
          <t>Попова Екатерина Николаевна</t>
        </is>
      </c>
      <c r="B83" s="4" t="inlineStr">
        <is>
          <t>Октябрь 2023</t>
        </is>
      </c>
      <c r="C83" s="5" t="n">
        <v>786826.0800000001</v>
      </c>
      <c r="D83" s="5" t="n">
        <v>624445.8</v>
      </c>
      <c r="E83" s="6" t="n">
        <v>0.793626210254749</v>
      </c>
      <c r="F83" s="13" t="n">
        <v>10</v>
      </c>
      <c r="G83" s="13" t="n">
        <v>7</v>
      </c>
      <c r="H83" s="5" t="n">
        <v>262750</v>
      </c>
      <c r="I83" s="5" t="n">
        <v>163359</v>
      </c>
      <c r="J83" s="6" t="n">
        <v>0.6217278782112274</v>
      </c>
      <c r="K83" s="13" t="n">
        <v>3</v>
      </c>
      <c r="L83" s="13" t="n">
        <v>1</v>
      </c>
    </row>
    <row r="84">
      <c r="A84" s="4" t="inlineStr">
        <is>
          <t>Попова Екатерина Николаевна</t>
        </is>
      </c>
      <c r="B84" s="4" t="inlineStr">
        <is>
          <t>Ноябрь 2023</t>
        </is>
      </c>
      <c r="C84" s="5" t="n">
        <v>0</v>
      </c>
      <c r="D84" s="5" t="n">
        <v>0</v>
      </c>
      <c r="E84" s="6" t="n">
        <v/>
      </c>
      <c r="F84" s="13" t="n">
        <v>0</v>
      </c>
      <c r="G84" s="13" t="n">
        <v>0</v>
      </c>
      <c r="H84" s="5" t="n">
        <v>112728.26</v>
      </c>
      <c r="I84" s="5" t="n">
        <v>21400</v>
      </c>
      <c r="J84" s="6" t="n">
        <v>0.1898370470723135</v>
      </c>
      <c r="K84" s="13" t="n">
        <v>3</v>
      </c>
      <c r="L84" s="13" t="n">
        <v>1</v>
      </c>
    </row>
    <row r="85">
      <c r="A85" s="4" t="inlineStr">
        <is>
          <t>Попова Екатерина Николаевна</t>
        </is>
      </c>
      <c r="B85" s="4" t="inlineStr">
        <is>
          <t>Декабрь 2023</t>
        </is>
      </c>
      <c r="C85" s="5" t="n">
        <v>113060</v>
      </c>
      <c r="D85" s="5" t="n">
        <v>67850</v>
      </c>
      <c r="E85" s="6" t="n">
        <v>0.6001238280558995</v>
      </c>
      <c r="F85" s="13" t="n">
        <v>4</v>
      </c>
      <c r="G85" s="13" t="n">
        <v>1</v>
      </c>
      <c r="H85" s="5" t="n">
        <v>0</v>
      </c>
      <c r="I85" s="5" t="n">
        <v>0</v>
      </c>
      <c r="J85" s="6" t="n">
        <v/>
      </c>
      <c r="K85" s="13" t="n">
        <v>0</v>
      </c>
      <c r="L85" s="13" t="n">
        <v>0</v>
      </c>
    </row>
    <row r="86">
      <c r="A86" s="4" t="inlineStr">
        <is>
          <t>Смирнова Ольга Владимировна</t>
        </is>
      </c>
      <c r="B86" s="4" t="inlineStr">
        <is>
          <t>Январь 2023</t>
        </is>
      </c>
      <c r="C86" s="5" t="n">
        <v>150075</v>
      </c>
      <c r="D86" s="5" t="n">
        <v>111565</v>
      </c>
      <c r="E86" s="6" t="n">
        <v>0.7433949691820756</v>
      </c>
      <c r="F86" s="13" t="n">
        <v>3</v>
      </c>
      <c r="G86" s="13" t="n">
        <v>2</v>
      </c>
      <c r="H86" s="5" t="n">
        <v>0</v>
      </c>
      <c r="I86" s="5" t="n">
        <v>0</v>
      </c>
      <c r="J86" s="6" t="n">
        <v/>
      </c>
      <c r="K86" s="13" t="n">
        <v>0</v>
      </c>
      <c r="L86" s="13" t="n">
        <v>0</v>
      </c>
    </row>
    <row r="87">
      <c r="A87" s="4" t="inlineStr">
        <is>
          <t>Смирнова Ольга Владимировна</t>
        </is>
      </c>
      <c r="B87" s="4" t="inlineStr">
        <is>
          <t>Февраль 2023</t>
        </is>
      </c>
      <c r="C87" s="5" t="n">
        <v>48000</v>
      </c>
      <c r="D87" s="5" t="n">
        <v>0</v>
      </c>
      <c r="E87" s="6" t="n">
        <v>0</v>
      </c>
      <c r="F87" s="13" t="n">
        <v>1</v>
      </c>
      <c r="G87" s="13" t="n">
        <v>0</v>
      </c>
      <c r="H87" s="5" t="n">
        <v>38295</v>
      </c>
      <c r="I87" s="5" t="n">
        <v>0</v>
      </c>
      <c r="J87" s="6" t="n">
        <v>0</v>
      </c>
      <c r="K87" s="13" t="n">
        <v>1</v>
      </c>
      <c r="L87" s="13" t="n">
        <v>0</v>
      </c>
    </row>
    <row r="88">
      <c r="A88" s="4" t="inlineStr">
        <is>
          <t>Смирнова Ольга Владимировна</t>
        </is>
      </c>
      <c r="B88" s="4" t="inlineStr">
        <is>
          <t>Март 2023</t>
        </is>
      </c>
      <c r="C88" s="5" t="n">
        <v>0</v>
      </c>
      <c r="D88" s="5" t="n">
        <v>0</v>
      </c>
      <c r="E88" s="6" t="n">
        <v/>
      </c>
      <c r="F88" s="13" t="n">
        <v>0</v>
      </c>
      <c r="G88" s="13" t="n">
        <v>0</v>
      </c>
      <c r="H88" s="5" t="n">
        <v>48000</v>
      </c>
      <c r="I88" s="5" t="n">
        <v>55225</v>
      </c>
      <c r="J88" s="6" t="n">
        <v>1.150520833333333</v>
      </c>
      <c r="K88" s="13" t="n">
        <v>1</v>
      </c>
      <c r="L88" s="13" t="n">
        <v>1</v>
      </c>
    </row>
    <row r="89">
      <c r="A89" s="4" t="inlineStr">
        <is>
          <t>Смирнова Ольга Владимировна</t>
        </is>
      </c>
      <c r="B89" s="4" t="inlineStr">
        <is>
          <t>Апрель 2023</t>
        </is>
      </c>
      <c r="C89" s="5" t="n">
        <v>93075</v>
      </c>
      <c r="D89" s="5" t="n">
        <v>89920</v>
      </c>
      <c r="E89" s="6" t="n">
        <v>0.9661026054257319</v>
      </c>
      <c r="F89" s="13" t="n">
        <v>2</v>
      </c>
      <c r="G89" s="13" t="n">
        <v>2</v>
      </c>
      <c r="H89" s="5" t="n">
        <v>0</v>
      </c>
      <c r="I89" s="5" t="n">
        <v>0</v>
      </c>
      <c r="J89" s="6" t="n">
        <v/>
      </c>
      <c r="K89" s="13" t="n">
        <v>0</v>
      </c>
      <c r="L89" s="13" t="n">
        <v>0</v>
      </c>
    </row>
    <row r="90">
      <c r="A90" s="4" t="inlineStr">
        <is>
          <t>Смирнова Ольга Владимировна</t>
        </is>
      </c>
      <c r="B90" s="4" t="inlineStr">
        <is>
          <t>Май 2023</t>
        </is>
      </c>
      <c r="C90" s="5" t="n">
        <v>0</v>
      </c>
      <c r="D90" s="5" t="n">
        <v>0</v>
      </c>
      <c r="E90" s="6" t="n">
        <v/>
      </c>
      <c r="F90" s="13" t="n">
        <v>0</v>
      </c>
      <c r="G90" s="13" t="n">
        <v>0</v>
      </c>
      <c r="H90" s="5" t="n">
        <v>0</v>
      </c>
      <c r="I90" s="5" t="n">
        <v>0</v>
      </c>
      <c r="J90" s="6" t="n">
        <v/>
      </c>
      <c r="K90" s="13" t="n">
        <v>0</v>
      </c>
      <c r="L90" s="13" t="n">
        <v>0</v>
      </c>
    </row>
    <row r="91">
      <c r="A91" s="4" t="inlineStr">
        <is>
          <t>Смирнова Ольга Владимировна</t>
        </is>
      </c>
      <c r="B91" s="4" t="inlineStr">
        <is>
          <t>Июнь 2023</t>
        </is>
      </c>
      <c r="C91" s="5" t="n">
        <v>134394.35</v>
      </c>
      <c r="D91" s="5" t="n">
        <v>51395</v>
      </c>
      <c r="E91" s="6" t="n">
        <v>0.3824193502182197</v>
      </c>
      <c r="F91" s="13" t="n">
        <v>3</v>
      </c>
      <c r="G91" s="13" t="n">
        <v>1</v>
      </c>
      <c r="H91" s="5" t="n">
        <v>0</v>
      </c>
      <c r="I91" s="5" t="n">
        <v>0</v>
      </c>
      <c r="J91" s="6" t="n">
        <v/>
      </c>
      <c r="K91" s="13" t="n">
        <v>0</v>
      </c>
      <c r="L91" s="13" t="n">
        <v>0</v>
      </c>
    </row>
    <row r="92">
      <c r="A92" s="4" t="inlineStr">
        <is>
          <t>Смирнова Ольга Владимировна</t>
        </is>
      </c>
      <c r="B92" s="4" t="inlineStr">
        <is>
          <t>Июль 2023</t>
        </is>
      </c>
      <c r="C92" s="5" t="n">
        <v>33685</v>
      </c>
      <c r="D92" s="5" t="n">
        <v>0</v>
      </c>
      <c r="E92" s="6" t="n">
        <v>0</v>
      </c>
      <c r="F92" s="13" t="n">
        <v>2</v>
      </c>
      <c r="G92" s="13" t="n">
        <v>0</v>
      </c>
      <c r="H92" s="5" t="n">
        <v>134394.35</v>
      </c>
      <c r="I92" s="5" t="n">
        <v>69385</v>
      </c>
      <c r="J92" s="6" t="n">
        <v>0.5162791441753317</v>
      </c>
      <c r="K92" s="13" t="n">
        <v>2</v>
      </c>
      <c r="L92" s="13" t="n">
        <v>1</v>
      </c>
    </row>
    <row r="93">
      <c r="A93" s="4" t="inlineStr">
        <is>
          <t>Смирнова Ольга Владимировна</t>
        </is>
      </c>
      <c r="B93" s="4" t="inlineStr">
        <is>
          <t>Август 2023</t>
        </is>
      </c>
      <c r="C93" s="5" t="n">
        <v>292340</v>
      </c>
      <c r="D93" s="5" t="n">
        <v>108905</v>
      </c>
      <c r="E93" s="6" t="n">
        <v>0.3725285626325511</v>
      </c>
      <c r="F93" s="13" t="n">
        <v>4</v>
      </c>
      <c r="G93" s="13" t="n">
        <v>2</v>
      </c>
      <c r="H93" s="5" t="n">
        <v>33685</v>
      </c>
      <c r="I93" s="5" t="n">
        <v>52315</v>
      </c>
      <c r="J93" s="6" t="n">
        <v>1.553065162535253</v>
      </c>
      <c r="K93" s="13" t="n">
        <v>2</v>
      </c>
      <c r="L93" s="13" t="n">
        <v>1</v>
      </c>
    </row>
    <row r="94">
      <c r="A94" s="4" t="inlineStr">
        <is>
          <t>Смирнова Ольга Владимировна</t>
        </is>
      </c>
      <c r="B94" s="4" t="inlineStr">
        <is>
          <t>Сентябрь 2023</t>
        </is>
      </c>
      <c r="C94" s="5" t="n">
        <v>365378.54</v>
      </c>
      <c r="D94" s="5" t="n">
        <v>279686.45</v>
      </c>
      <c r="E94" s="6" t="n">
        <v>0.765470380389609</v>
      </c>
      <c r="F94" s="13" t="n">
        <v>4</v>
      </c>
      <c r="G94" s="13" t="n">
        <v>3</v>
      </c>
      <c r="H94" s="5" t="n">
        <v>181410</v>
      </c>
      <c r="I94" s="5" t="n">
        <v>0</v>
      </c>
      <c r="J94" s="6" t="n">
        <v>0</v>
      </c>
      <c r="K94" s="13" t="n">
        <v>2</v>
      </c>
      <c r="L94" s="13" t="n">
        <v>0</v>
      </c>
    </row>
    <row r="95">
      <c r="A95" s="4" t="inlineStr">
        <is>
          <t>Смирнова Ольга Владимировна</t>
        </is>
      </c>
      <c r="B95" s="4" t="inlineStr">
        <is>
          <t>Октябрь 2023</t>
        </is>
      </c>
      <c r="C95" s="5" t="n">
        <v>1008715.7</v>
      </c>
      <c r="D95" s="5" t="n">
        <v>1056368.75</v>
      </c>
      <c r="E95" s="6" t="n">
        <v>1.047241308923813</v>
      </c>
      <c r="F95" s="13" t="n">
        <v>10</v>
      </c>
      <c r="G95" s="13" t="n">
        <v>4</v>
      </c>
      <c r="H95" s="5" t="n">
        <v>121930</v>
      </c>
      <c r="I95" s="5" t="n">
        <v>0</v>
      </c>
      <c r="J95" s="6" t="n">
        <v>0</v>
      </c>
      <c r="K95" s="13" t="n">
        <v>1</v>
      </c>
      <c r="L95" s="13" t="n">
        <v>0</v>
      </c>
    </row>
    <row r="96">
      <c r="A96" s="4" t="inlineStr">
        <is>
          <t>Смирнова Ольга Владимировна</t>
        </is>
      </c>
      <c r="B96" s="4" t="inlineStr">
        <is>
          <t>Ноябрь 2023</t>
        </is>
      </c>
      <c r="C96" s="5" t="n">
        <v>271490</v>
      </c>
      <c r="D96" s="5" t="n">
        <v>227030</v>
      </c>
      <c r="E96" s="6" t="n">
        <v>0.8362370621385686</v>
      </c>
      <c r="F96" s="13" t="n">
        <v>10</v>
      </c>
      <c r="G96" s="13" t="n">
        <v>4</v>
      </c>
      <c r="H96" s="5" t="n">
        <v>178271.45</v>
      </c>
      <c r="I96" s="5" t="n">
        <v>0</v>
      </c>
      <c r="J96" s="6" t="n">
        <v>0</v>
      </c>
      <c r="K96" s="13" t="n">
        <v>6</v>
      </c>
      <c r="L96" s="13" t="n">
        <v>0</v>
      </c>
    </row>
    <row r="97">
      <c r="A97" s="4" t="inlineStr">
        <is>
          <t>Смирнова Ольга Владимировна</t>
        </is>
      </c>
      <c r="B97" s="4" t="inlineStr">
        <is>
          <t>Декабрь 2023</t>
        </is>
      </c>
      <c r="C97" s="5" t="n">
        <v>554051</v>
      </c>
      <c r="D97" s="5" t="n">
        <v>200088.3</v>
      </c>
      <c r="E97" s="6" t="n">
        <v>0.3611369711452556</v>
      </c>
      <c r="F97" s="13" t="n">
        <v>12</v>
      </c>
      <c r="G97" s="13" t="n">
        <v>4</v>
      </c>
      <c r="H97" s="5" t="n">
        <v>67515</v>
      </c>
      <c r="I97" s="5" t="n">
        <v>26900</v>
      </c>
      <c r="J97" s="6" t="n">
        <v>0.3984299785232911</v>
      </c>
      <c r="K97" s="13" t="n">
        <v>6</v>
      </c>
      <c r="L97" s="13" t="n">
        <v>1</v>
      </c>
    </row>
    <row r="98">
      <c r="A98" s="4" t="inlineStr">
        <is>
          <t>Соколова Анастасия Викторовна</t>
        </is>
      </c>
      <c r="B98" s="4" t="inlineStr">
        <is>
          <t>Январь 2023</t>
        </is>
      </c>
      <c r="C98" s="5" t="n">
        <v>911513.26</v>
      </c>
      <c r="D98" s="5" t="n">
        <v>389519</v>
      </c>
      <c r="E98" s="6" t="n">
        <v>0.4273322365052594</v>
      </c>
      <c r="F98" s="13" t="n">
        <v>9</v>
      </c>
      <c r="G98" s="13" t="n">
        <v>4</v>
      </c>
      <c r="H98" s="5" t="n">
        <v>108095</v>
      </c>
      <c r="I98" s="5" t="n">
        <v>73380</v>
      </c>
      <c r="J98" s="6" t="n">
        <v>0.6788473102363661</v>
      </c>
      <c r="K98" s="13" t="n">
        <v>2</v>
      </c>
      <c r="L98" s="13" t="n">
        <v>1</v>
      </c>
    </row>
    <row r="99">
      <c r="A99" s="4" t="inlineStr">
        <is>
          <t>Соколова Анастасия Викторовна</t>
        </is>
      </c>
      <c r="B99" s="4" t="inlineStr">
        <is>
          <t>Февраль 2023</t>
        </is>
      </c>
      <c r="C99" s="5" t="n">
        <v>584298.5</v>
      </c>
      <c r="D99" s="5" t="n">
        <v>137155</v>
      </c>
      <c r="E99" s="6" t="n">
        <v>0.2347344721918677</v>
      </c>
      <c r="F99" s="13" t="n">
        <v>6</v>
      </c>
      <c r="G99" s="13" t="n">
        <v>1</v>
      </c>
      <c r="H99" s="5" t="n">
        <v>446712.76</v>
      </c>
      <c r="I99" s="5" t="n">
        <v>96345</v>
      </c>
      <c r="J99" s="6" t="n">
        <v>0.2156755047695526</v>
      </c>
      <c r="K99" s="13" t="n">
        <v>5</v>
      </c>
      <c r="L99" s="13" t="n">
        <v>2</v>
      </c>
    </row>
    <row r="100">
      <c r="A100" s="4" t="inlineStr">
        <is>
          <t>Соколова Анастасия Викторовна</t>
        </is>
      </c>
      <c r="B100" s="4" t="inlineStr">
        <is>
          <t>Март 2023</t>
        </is>
      </c>
      <c r="C100" s="5" t="n">
        <v>290060</v>
      </c>
      <c r="D100" s="5" t="n">
        <v>272430</v>
      </c>
      <c r="E100" s="6" t="n">
        <v>0.9392194718334138</v>
      </c>
      <c r="F100" s="13" t="n">
        <v>6</v>
      </c>
      <c r="G100" s="13" t="n">
        <v>3</v>
      </c>
      <c r="H100" s="5" t="n">
        <v>423213.5</v>
      </c>
      <c r="I100" s="5" t="n">
        <v>0</v>
      </c>
      <c r="J100" s="6" t="n">
        <v>0</v>
      </c>
      <c r="K100" s="13" t="n">
        <v>5</v>
      </c>
      <c r="L100" s="13" t="n">
        <v>0</v>
      </c>
    </row>
    <row r="101">
      <c r="A101" s="4" t="inlineStr">
        <is>
          <t>Соколова Анастасия Викторовна</t>
        </is>
      </c>
      <c r="B101" s="4" t="inlineStr">
        <is>
          <t>Апрель 2023</t>
        </is>
      </c>
      <c r="C101" s="5" t="n">
        <v>398453</v>
      </c>
      <c r="D101" s="5" t="n">
        <v>424685</v>
      </c>
      <c r="E101" s="6" t="n">
        <v>1.065834615374963</v>
      </c>
      <c r="F101" s="13" t="n">
        <v>4</v>
      </c>
      <c r="G101" s="13" t="n">
        <v>3</v>
      </c>
      <c r="H101" s="5" t="n">
        <v>42830</v>
      </c>
      <c r="I101" s="5" t="n">
        <v>0</v>
      </c>
      <c r="J101" s="6" t="n">
        <v>0</v>
      </c>
      <c r="K101" s="13" t="n">
        <v>3</v>
      </c>
      <c r="L101" s="13" t="n">
        <v>0</v>
      </c>
    </row>
    <row r="102">
      <c r="A102" s="4" t="inlineStr">
        <is>
          <t>Соколова Анастасия Викторовна</t>
        </is>
      </c>
      <c r="B102" s="4" t="inlineStr">
        <is>
          <t>Май 2023</t>
        </is>
      </c>
      <c r="C102" s="5" t="n">
        <v>356730</v>
      </c>
      <c r="D102" s="5" t="n">
        <v>84690</v>
      </c>
      <c r="E102" s="6" t="n">
        <v>0.2374064418467749</v>
      </c>
      <c r="F102" s="13" t="n">
        <v>4</v>
      </c>
      <c r="G102" s="13" t="n">
        <v>2</v>
      </c>
      <c r="H102" s="5" t="n">
        <v>49795</v>
      </c>
      <c r="I102" s="5" t="n">
        <v>0</v>
      </c>
      <c r="J102" s="6" t="n">
        <v>0</v>
      </c>
      <c r="K102" s="13" t="n">
        <v>1</v>
      </c>
      <c r="L102" s="13" t="n">
        <v>0</v>
      </c>
    </row>
    <row r="103">
      <c r="A103" s="4" t="inlineStr">
        <is>
          <t>Соколова Анастасия Викторовна</t>
        </is>
      </c>
      <c r="B103" s="4" t="inlineStr">
        <is>
          <t>Июнь 2023</t>
        </is>
      </c>
      <c r="C103" s="5" t="n">
        <v>169280</v>
      </c>
      <c r="D103" s="5" t="n">
        <v>129740</v>
      </c>
      <c r="E103" s="6" t="n">
        <v>0.7664224952741021</v>
      </c>
      <c r="F103" s="13" t="n">
        <v>3</v>
      </c>
      <c r="G103" s="13" t="n">
        <v>1</v>
      </c>
      <c r="H103" s="5" t="n">
        <v>205000</v>
      </c>
      <c r="I103" s="5" t="n">
        <v>0</v>
      </c>
      <c r="J103" s="6" t="n">
        <v>0</v>
      </c>
      <c r="K103" s="13" t="n">
        <v>2</v>
      </c>
      <c r="L103" s="13" t="n">
        <v>0</v>
      </c>
    </row>
    <row r="104">
      <c r="A104" s="4" t="inlineStr">
        <is>
          <t>Соколова Анастасия Викторовна</t>
        </is>
      </c>
      <c r="B104" s="4" t="inlineStr">
        <is>
          <t>Июль 2023</t>
        </is>
      </c>
      <c r="C104" s="5" t="n">
        <v>876410</v>
      </c>
      <c r="D104" s="5" t="n">
        <v>542575</v>
      </c>
      <c r="E104" s="6" t="n">
        <v>0.6190880980363072</v>
      </c>
      <c r="F104" s="13" t="n">
        <v>8</v>
      </c>
      <c r="G104" s="13" t="n">
        <v>5</v>
      </c>
      <c r="H104" s="5" t="n">
        <v>74580</v>
      </c>
      <c r="I104" s="5" t="n">
        <v>0</v>
      </c>
      <c r="J104" s="6" t="n">
        <v>0</v>
      </c>
      <c r="K104" s="13" t="n">
        <v>2</v>
      </c>
      <c r="L104" s="13" t="n">
        <v>0</v>
      </c>
    </row>
    <row r="105">
      <c r="A105" s="4" t="inlineStr">
        <is>
          <t>Соколова Анастасия Викторовна</t>
        </is>
      </c>
      <c r="B105" s="4" t="inlineStr">
        <is>
          <t>Август 2023</t>
        </is>
      </c>
      <c r="C105" s="5" t="n">
        <v>466862.13</v>
      </c>
      <c r="D105" s="5" t="n">
        <v>252695</v>
      </c>
      <c r="E105" s="6" t="n">
        <v>0.5412625778835392</v>
      </c>
      <c r="F105" s="13" t="n">
        <v>4</v>
      </c>
      <c r="G105" s="13" t="n">
        <v>2</v>
      </c>
      <c r="H105" s="5" t="n">
        <v>379515</v>
      </c>
      <c r="I105" s="5" t="n">
        <v>0</v>
      </c>
      <c r="J105" s="6" t="n">
        <v>0</v>
      </c>
      <c r="K105" s="13" t="n">
        <v>3</v>
      </c>
      <c r="L105" s="13" t="n">
        <v>0</v>
      </c>
    </row>
    <row r="106">
      <c r="A106" s="4" t="inlineStr">
        <is>
          <t>Соколова Анастасия Викторовна</t>
        </is>
      </c>
      <c r="B106" s="4" t="inlineStr">
        <is>
          <t>Сентябрь 2023</t>
        </is>
      </c>
      <c r="C106" s="5" t="n">
        <v>483370.47</v>
      </c>
      <c r="D106" s="5" t="n">
        <v>142458.97</v>
      </c>
      <c r="E106" s="6" t="n">
        <v>0.2947200518889787</v>
      </c>
      <c r="F106" s="13" t="n">
        <v>6</v>
      </c>
      <c r="G106" s="13" t="n">
        <v>1</v>
      </c>
      <c r="H106" s="5" t="n">
        <v>139642.13</v>
      </c>
      <c r="I106" s="5" t="n">
        <v>0</v>
      </c>
      <c r="J106" s="6" t="n">
        <v>0</v>
      </c>
      <c r="K106" s="13" t="n">
        <v>2</v>
      </c>
      <c r="L106" s="13" t="n">
        <v>0</v>
      </c>
    </row>
    <row r="107">
      <c r="A107" s="4" t="inlineStr">
        <is>
          <t>Соколова Анастасия Викторовна</t>
        </is>
      </c>
      <c r="B107" s="4" t="inlineStr">
        <is>
          <t>Октябрь 2023</t>
        </is>
      </c>
      <c r="C107" s="5" t="n">
        <v>913942.22</v>
      </c>
      <c r="D107" s="5" t="n">
        <v>769355</v>
      </c>
      <c r="E107" s="6" t="n">
        <v>0.8417982922377741</v>
      </c>
      <c r="F107" s="13" t="n">
        <v>10</v>
      </c>
      <c r="G107" s="13" t="n">
        <v>6</v>
      </c>
      <c r="H107" s="5" t="n">
        <v>329486.37</v>
      </c>
      <c r="I107" s="5" t="n">
        <v>0</v>
      </c>
      <c r="J107" s="6" t="n">
        <v>0</v>
      </c>
      <c r="K107" s="13" t="n">
        <v>5</v>
      </c>
      <c r="L107" s="13" t="n">
        <v>0</v>
      </c>
    </row>
    <row r="108">
      <c r="A108" s="4" t="inlineStr">
        <is>
          <t>Соколова Анастасия Викторовна</t>
        </is>
      </c>
      <c r="B108" s="4" t="inlineStr">
        <is>
          <t>Ноябрь 2023</t>
        </is>
      </c>
      <c r="C108" s="5" t="n">
        <v>387345</v>
      </c>
      <c r="D108" s="5" t="n">
        <v>69190</v>
      </c>
      <c r="E108" s="6" t="n">
        <v>0.1786262892253676</v>
      </c>
      <c r="F108" s="13" t="n">
        <v>3</v>
      </c>
      <c r="G108" s="13" t="n">
        <v>1</v>
      </c>
      <c r="H108" s="5" t="n">
        <v>292147.22</v>
      </c>
      <c r="I108" s="5" t="n">
        <v>0</v>
      </c>
      <c r="J108" s="6" t="n">
        <v>0</v>
      </c>
      <c r="K108" s="13" t="n">
        <v>4</v>
      </c>
      <c r="L108" s="13" t="n">
        <v>0</v>
      </c>
    </row>
    <row r="109">
      <c r="A109" s="4" t="inlineStr">
        <is>
          <t>Соколова Анастасия Викторовна</t>
        </is>
      </c>
      <c r="B109" s="4" t="inlineStr">
        <is>
          <t>Декабрь 2023</t>
        </is>
      </c>
      <c r="C109" s="5" t="n">
        <v>960450</v>
      </c>
      <c r="D109" s="5" t="n">
        <v>759775</v>
      </c>
      <c r="E109" s="6" t="n">
        <v>0.791061481597168</v>
      </c>
      <c r="F109" s="13" t="n">
        <v>9</v>
      </c>
      <c r="G109" s="13" t="n">
        <v>5</v>
      </c>
      <c r="H109" s="5" t="n">
        <v>321645</v>
      </c>
      <c r="I109" s="5" t="n">
        <v>0</v>
      </c>
      <c r="J109" s="6" t="n">
        <v>0</v>
      </c>
      <c r="K109" s="13" t="n">
        <v>2</v>
      </c>
      <c r="L109" s="13" t="n">
        <v>0</v>
      </c>
    </row>
    <row r="110">
      <c r="A110" s="4" t="inlineStr">
        <is>
          <t>Федорова Марина Васильевна</t>
        </is>
      </c>
      <c r="B110" s="4" t="inlineStr">
        <is>
          <t>Январь 2023</t>
        </is>
      </c>
      <c r="C110" s="5" t="n">
        <v>0</v>
      </c>
      <c r="D110" s="5" t="n">
        <v>0</v>
      </c>
      <c r="E110" s="6" t="n">
        <v/>
      </c>
      <c r="F110" s="13" t="n">
        <v>0</v>
      </c>
      <c r="G110" s="13" t="n">
        <v>0</v>
      </c>
      <c r="H110" s="5" t="n">
        <v>0</v>
      </c>
      <c r="I110" s="5" t="n">
        <v>0</v>
      </c>
      <c r="J110" s="6" t="n">
        <v/>
      </c>
      <c r="K110" s="13" t="n">
        <v>0</v>
      </c>
      <c r="L110" s="13" t="n">
        <v>0</v>
      </c>
    </row>
    <row r="111">
      <c r="A111" s="4" t="inlineStr">
        <is>
          <t>Федорова Марина Васильевна</t>
        </is>
      </c>
      <c r="B111" s="4" t="inlineStr">
        <is>
          <t>Февраль 2023</t>
        </is>
      </c>
      <c r="C111" s="5" t="n">
        <v>0</v>
      </c>
      <c r="D111" s="5" t="n">
        <v>0</v>
      </c>
      <c r="E111" s="6" t="n">
        <v/>
      </c>
      <c r="F111" s="13" t="n">
        <v>0</v>
      </c>
      <c r="G111" s="13" t="n">
        <v>0</v>
      </c>
      <c r="H111" s="5" t="n">
        <v>0</v>
      </c>
      <c r="I111" s="5" t="n">
        <v>0</v>
      </c>
      <c r="J111" s="6" t="n">
        <v/>
      </c>
      <c r="K111" s="13" t="n">
        <v>0</v>
      </c>
      <c r="L111" s="13" t="n">
        <v>0</v>
      </c>
    </row>
    <row r="112">
      <c r="A112" s="4" t="inlineStr">
        <is>
          <t>Федорова Марина Васильевна</t>
        </is>
      </c>
      <c r="B112" s="4" t="inlineStr">
        <is>
          <t>Март 2023</t>
        </is>
      </c>
      <c r="C112" s="5" t="n">
        <v>0</v>
      </c>
      <c r="D112" s="5" t="n">
        <v>0</v>
      </c>
      <c r="E112" s="6" t="n">
        <v/>
      </c>
      <c r="F112" s="13" t="n">
        <v>0</v>
      </c>
      <c r="G112" s="13" t="n">
        <v>0</v>
      </c>
      <c r="H112" s="5" t="n">
        <v>0</v>
      </c>
      <c r="I112" s="5" t="n">
        <v>0</v>
      </c>
      <c r="J112" s="6" t="n">
        <v/>
      </c>
      <c r="K112" s="13" t="n">
        <v>0</v>
      </c>
      <c r="L112" s="13" t="n">
        <v>0</v>
      </c>
    </row>
    <row r="113">
      <c r="A113" s="4" t="inlineStr">
        <is>
          <t>Федорова Марина Васильевна</t>
        </is>
      </c>
      <c r="B113" s="4" t="inlineStr">
        <is>
          <t>Апрель 2023</t>
        </is>
      </c>
      <c r="C113" s="5" t="n">
        <v>0</v>
      </c>
      <c r="D113" s="5" t="n">
        <v>0</v>
      </c>
      <c r="E113" s="6" t="n">
        <v/>
      </c>
      <c r="F113" s="13" t="n">
        <v>0</v>
      </c>
      <c r="G113" s="13" t="n">
        <v>0</v>
      </c>
      <c r="H113" s="5" t="n">
        <v>0</v>
      </c>
      <c r="I113" s="5" t="n">
        <v>0</v>
      </c>
      <c r="J113" s="6" t="n">
        <v/>
      </c>
      <c r="K113" s="13" t="n">
        <v>0</v>
      </c>
      <c r="L113" s="13" t="n">
        <v>0</v>
      </c>
    </row>
    <row r="114">
      <c r="A114" s="4" t="inlineStr">
        <is>
          <t>Федорова Марина Васильевна</t>
        </is>
      </c>
      <c r="B114" s="4" t="inlineStr">
        <is>
          <t>Май 2023</t>
        </is>
      </c>
      <c r="C114" s="5" t="n">
        <v>0</v>
      </c>
      <c r="D114" s="5" t="n">
        <v>0</v>
      </c>
      <c r="E114" s="6" t="n">
        <v/>
      </c>
      <c r="F114" s="13" t="n">
        <v>0</v>
      </c>
      <c r="G114" s="13" t="n">
        <v>0</v>
      </c>
      <c r="H114" s="5" t="n">
        <v>0</v>
      </c>
      <c r="I114" s="5" t="n">
        <v>0</v>
      </c>
      <c r="J114" s="6" t="n">
        <v/>
      </c>
      <c r="K114" s="13" t="n">
        <v>0</v>
      </c>
      <c r="L114" s="13" t="n">
        <v>0</v>
      </c>
    </row>
    <row r="115">
      <c r="A115" s="4" t="inlineStr">
        <is>
          <t>Федорова Марина Васильевна</t>
        </is>
      </c>
      <c r="B115" s="4" t="inlineStr">
        <is>
          <t>Июнь 2023</t>
        </is>
      </c>
      <c r="C115" s="5" t="n">
        <v>0</v>
      </c>
      <c r="D115" s="5" t="n">
        <v>0</v>
      </c>
      <c r="E115" s="6" t="n">
        <v/>
      </c>
      <c r="F115" s="13" t="n">
        <v>0</v>
      </c>
      <c r="G115" s="13" t="n">
        <v>0</v>
      </c>
      <c r="H115" s="5" t="n">
        <v>0</v>
      </c>
      <c r="I115" s="5" t="n">
        <v>0</v>
      </c>
      <c r="J115" s="6" t="n">
        <v/>
      </c>
      <c r="K115" s="13" t="n">
        <v>0</v>
      </c>
      <c r="L115" s="13" t="n">
        <v>0</v>
      </c>
    </row>
    <row r="116">
      <c r="A116" s="4" t="inlineStr">
        <is>
          <t>Федорова Марина Васильевна</t>
        </is>
      </c>
      <c r="B116" s="4" t="inlineStr">
        <is>
          <t>Июль 2023</t>
        </is>
      </c>
      <c r="C116" s="5" t="n">
        <v>0</v>
      </c>
      <c r="D116" s="5" t="n">
        <v>0</v>
      </c>
      <c r="E116" s="6" t="n">
        <v/>
      </c>
      <c r="F116" s="13" t="n">
        <v>0</v>
      </c>
      <c r="G116" s="13" t="n">
        <v>0</v>
      </c>
      <c r="H116" s="5" t="n">
        <v>0</v>
      </c>
      <c r="I116" s="5" t="n">
        <v>0</v>
      </c>
      <c r="J116" s="6" t="n">
        <v/>
      </c>
      <c r="K116" s="13" t="n">
        <v>0</v>
      </c>
      <c r="L116" s="13" t="n">
        <v>0</v>
      </c>
    </row>
    <row r="117">
      <c r="A117" s="4" t="inlineStr">
        <is>
          <t>Федорова Марина Васильевна</t>
        </is>
      </c>
      <c r="B117" s="4" t="inlineStr">
        <is>
          <t>Август 2023</t>
        </is>
      </c>
      <c r="C117" s="5" t="n">
        <v>0</v>
      </c>
      <c r="D117" s="5" t="n">
        <v>0</v>
      </c>
      <c r="E117" s="6" t="n">
        <v/>
      </c>
      <c r="F117" s="13" t="n">
        <v>0</v>
      </c>
      <c r="G117" s="13" t="n">
        <v>0</v>
      </c>
      <c r="H117" s="5" t="n">
        <v>0</v>
      </c>
      <c r="I117" s="5" t="n">
        <v>0</v>
      </c>
      <c r="J117" s="6" t="n">
        <v/>
      </c>
      <c r="K117" s="13" t="n">
        <v>0</v>
      </c>
      <c r="L117" s="13" t="n">
        <v>0</v>
      </c>
    </row>
    <row r="118">
      <c r="A118" s="4" t="inlineStr">
        <is>
          <t>Федорова Марина Васильевна</t>
        </is>
      </c>
      <c r="B118" s="4" t="inlineStr">
        <is>
          <t>Сентябрь 2023</t>
        </is>
      </c>
      <c r="C118" s="5" t="n">
        <v>0</v>
      </c>
      <c r="D118" s="5" t="n">
        <v>0</v>
      </c>
      <c r="E118" s="6" t="n">
        <v/>
      </c>
      <c r="F118" s="13" t="n">
        <v>0</v>
      </c>
      <c r="G118" s="13" t="n">
        <v>0</v>
      </c>
      <c r="H118" s="5" t="n">
        <v>0</v>
      </c>
      <c r="I118" s="5" t="n">
        <v>0</v>
      </c>
      <c r="J118" s="6" t="n">
        <v/>
      </c>
      <c r="K118" s="13" t="n">
        <v>0</v>
      </c>
      <c r="L118" s="13" t="n">
        <v>0</v>
      </c>
    </row>
    <row r="119">
      <c r="A119" s="4" t="inlineStr">
        <is>
          <t>Федорова Марина Васильевна</t>
        </is>
      </c>
      <c r="B119" s="4" t="inlineStr">
        <is>
          <t>Октябрь 2023</t>
        </is>
      </c>
      <c r="C119" s="5" t="n">
        <v>0</v>
      </c>
      <c r="D119" s="5" t="n">
        <v>0</v>
      </c>
      <c r="E119" s="6" t="n">
        <v/>
      </c>
      <c r="F119" s="13" t="n">
        <v>0</v>
      </c>
      <c r="G119" s="13" t="n">
        <v>0</v>
      </c>
      <c r="H119" s="5" t="n">
        <v>0</v>
      </c>
      <c r="I119" s="5" t="n">
        <v>0</v>
      </c>
      <c r="J119" s="6" t="n">
        <v/>
      </c>
      <c r="K119" s="13" t="n">
        <v>0</v>
      </c>
      <c r="L119" s="13" t="n">
        <v>0</v>
      </c>
    </row>
    <row r="120">
      <c r="A120" s="4" t="inlineStr">
        <is>
          <t>Федорова Марина Васильевна</t>
        </is>
      </c>
      <c r="B120" s="4" t="inlineStr">
        <is>
          <t>Ноябрь 2023</t>
        </is>
      </c>
      <c r="C120" s="5" t="n">
        <v>0</v>
      </c>
      <c r="D120" s="5" t="n">
        <v>0</v>
      </c>
      <c r="E120" s="6" t="n">
        <v/>
      </c>
      <c r="F120" s="13" t="n">
        <v>0</v>
      </c>
      <c r="G120" s="13" t="n">
        <v>0</v>
      </c>
      <c r="H120" s="5" t="n">
        <v>0</v>
      </c>
      <c r="I120" s="5" t="n">
        <v>0</v>
      </c>
      <c r="J120" s="6" t="n">
        <v/>
      </c>
      <c r="K120" s="13" t="n">
        <v>0</v>
      </c>
      <c r="L120" s="13" t="n">
        <v>0</v>
      </c>
    </row>
    <row r="121">
      <c r="A121" s="4" t="inlineStr">
        <is>
          <t>Федорова Марина Васильевна</t>
        </is>
      </c>
      <c r="B121" s="4" t="inlineStr">
        <is>
          <t>Декабрь 2023</t>
        </is>
      </c>
      <c r="C121" s="5" t="n">
        <v>0</v>
      </c>
      <c r="D121" s="5" t="n">
        <v>0</v>
      </c>
      <c r="E121" s="6" t="n">
        <v/>
      </c>
      <c r="F121" s="13" t="n">
        <v>0</v>
      </c>
      <c r="G121" s="13" t="n">
        <v>0</v>
      </c>
      <c r="H121" s="5" t="n">
        <v>0</v>
      </c>
      <c r="I121" s="5" t="n">
        <v>0</v>
      </c>
      <c r="J121" s="6" t="n">
        <v/>
      </c>
      <c r="K121" s="13" t="n">
        <v>0</v>
      </c>
      <c r="L121" s="13" t="n">
        <v>0</v>
      </c>
    </row>
    <row r="122">
      <c r="A122" s="4" t="inlineStr">
        <is>
          <t>без А/М</t>
        </is>
      </c>
      <c r="B122" s="4" t="inlineStr">
        <is>
          <t>Январь 2023</t>
        </is>
      </c>
      <c r="C122" s="5" t="n">
        <v>0</v>
      </c>
      <c r="D122" s="5" t="n">
        <v>0</v>
      </c>
      <c r="E122" s="6" t="n">
        <v/>
      </c>
      <c r="F122" s="13" t="n">
        <v>0</v>
      </c>
      <c r="G122" s="13" t="n">
        <v>0</v>
      </c>
      <c r="H122" s="5" t="n">
        <v>0</v>
      </c>
      <c r="I122" s="5" t="n">
        <v>0</v>
      </c>
      <c r="J122" s="6" t="n">
        <v/>
      </c>
      <c r="K122" s="13" t="n">
        <v>0</v>
      </c>
      <c r="L122" s="13" t="n">
        <v>0</v>
      </c>
    </row>
    <row r="123">
      <c r="A123" s="4" t="inlineStr">
        <is>
          <t>без А/М</t>
        </is>
      </c>
      <c r="B123" s="4" t="inlineStr">
        <is>
          <t>Февраль 2023</t>
        </is>
      </c>
      <c r="C123" s="5" t="n">
        <v>0</v>
      </c>
      <c r="D123" s="5" t="n">
        <v>0</v>
      </c>
      <c r="E123" s="6" t="n">
        <v/>
      </c>
      <c r="F123" s="13" t="n">
        <v>0</v>
      </c>
      <c r="G123" s="13" t="n">
        <v>0</v>
      </c>
      <c r="H123" s="5" t="n">
        <v>0</v>
      </c>
      <c r="I123" s="5" t="n">
        <v>0</v>
      </c>
      <c r="J123" s="6" t="n">
        <v/>
      </c>
      <c r="K123" s="13" t="n">
        <v>0</v>
      </c>
      <c r="L123" s="13" t="n">
        <v>0</v>
      </c>
    </row>
    <row r="124">
      <c r="A124" s="4" t="inlineStr">
        <is>
          <t>без А/М</t>
        </is>
      </c>
      <c r="B124" s="4" t="inlineStr">
        <is>
          <t>Март 2023</t>
        </is>
      </c>
      <c r="C124" s="5" t="n">
        <v>0</v>
      </c>
      <c r="D124" s="5" t="n">
        <v>0</v>
      </c>
      <c r="E124" s="6" t="n">
        <v/>
      </c>
      <c r="F124" s="13" t="n">
        <v>0</v>
      </c>
      <c r="G124" s="13" t="n">
        <v>0</v>
      </c>
      <c r="H124" s="5" t="n">
        <v>0</v>
      </c>
      <c r="I124" s="5" t="n">
        <v>0</v>
      </c>
      <c r="J124" s="6" t="n">
        <v/>
      </c>
      <c r="K124" s="13" t="n">
        <v>0</v>
      </c>
      <c r="L124" s="13" t="n">
        <v>0</v>
      </c>
    </row>
    <row r="125">
      <c r="A125" s="4" t="inlineStr">
        <is>
          <t>без А/М</t>
        </is>
      </c>
      <c r="B125" s="4" t="inlineStr">
        <is>
          <t>Апрель 2023</t>
        </is>
      </c>
      <c r="C125" s="5" t="n">
        <v>0</v>
      </c>
      <c r="D125" s="5" t="n">
        <v>0</v>
      </c>
      <c r="E125" s="6" t="n">
        <v/>
      </c>
      <c r="F125" s="13" t="n">
        <v>0</v>
      </c>
      <c r="G125" s="13" t="n">
        <v>0</v>
      </c>
      <c r="H125" s="5" t="n">
        <v>0</v>
      </c>
      <c r="I125" s="5" t="n">
        <v>0</v>
      </c>
      <c r="J125" s="6" t="n">
        <v/>
      </c>
      <c r="K125" s="13" t="n">
        <v>0</v>
      </c>
      <c r="L125" s="13" t="n">
        <v>0</v>
      </c>
    </row>
    <row r="126">
      <c r="A126" s="4" t="inlineStr">
        <is>
          <t>без А/М</t>
        </is>
      </c>
      <c r="B126" s="4" t="inlineStr">
        <is>
          <t>Май 2023</t>
        </is>
      </c>
      <c r="C126" s="5" t="n">
        <v>0</v>
      </c>
      <c r="D126" s="5" t="n">
        <v>0</v>
      </c>
      <c r="E126" s="6" t="n">
        <v/>
      </c>
      <c r="F126" s="13" t="n">
        <v>0</v>
      </c>
      <c r="G126" s="13" t="n">
        <v>0</v>
      </c>
      <c r="H126" s="5" t="n">
        <v>0</v>
      </c>
      <c r="I126" s="5" t="n">
        <v>0</v>
      </c>
      <c r="J126" s="6" t="n">
        <v/>
      </c>
      <c r="K126" s="13" t="n">
        <v>0</v>
      </c>
      <c r="L126" s="13" t="n">
        <v>0</v>
      </c>
    </row>
    <row r="127">
      <c r="A127" s="4" t="inlineStr">
        <is>
          <t>без А/М</t>
        </is>
      </c>
      <c r="B127" s="4" t="inlineStr">
        <is>
          <t>Июнь 2023</t>
        </is>
      </c>
      <c r="C127" s="5" t="n">
        <v>0</v>
      </c>
      <c r="D127" s="5" t="n">
        <v>0</v>
      </c>
      <c r="E127" s="6" t="n">
        <v/>
      </c>
      <c r="F127" s="13" t="n">
        <v>0</v>
      </c>
      <c r="G127" s="13" t="n">
        <v>0</v>
      </c>
      <c r="H127" s="5" t="n">
        <v>0</v>
      </c>
      <c r="I127" s="5" t="n">
        <v>0</v>
      </c>
      <c r="J127" s="6" t="n">
        <v/>
      </c>
      <c r="K127" s="13" t="n">
        <v>0</v>
      </c>
      <c r="L127" s="13" t="n">
        <v>0</v>
      </c>
    </row>
    <row r="128">
      <c r="A128" s="4" t="inlineStr">
        <is>
          <t>без А/М</t>
        </is>
      </c>
      <c r="B128" s="4" t="inlineStr">
        <is>
          <t>Июль 2023</t>
        </is>
      </c>
      <c r="C128" s="5" t="n">
        <v>0</v>
      </c>
      <c r="D128" s="5" t="n">
        <v>0</v>
      </c>
      <c r="E128" s="6" t="n">
        <v/>
      </c>
      <c r="F128" s="13" t="n">
        <v>0</v>
      </c>
      <c r="G128" s="13" t="n">
        <v>0</v>
      </c>
      <c r="H128" s="5" t="n">
        <v>0</v>
      </c>
      <c r="I128" s="5" t="n">
        <v>0</v>
      </c>
      <c r="J128" s="6" t="n">
        <v/>
      </c>
      <c r="K128" s="13" t="n">
        <v>0</v>
      </c>
      <c r="L128" s="13" t="n">
        <v>0</v>
      </c>
    </row>
    <row r="129">
      <c r="A129" s="4" t="inlineStr">
        <is>
          <t>без А/М</t>
        </is>
      </c>
      <c r="B129" s="4" t="inlineStr">
        <is>
          <t>Август 2023</t>
        </is>
      </c>
      <c r="C129" s="5" t="n">
        <v>0</v>
      </c>
      <c r="D129" s="5" t="n">
        <v>0</v>
      </c>
      <c r="E129" s="6" t="n">
        <v/>
      </c>
      <c r="F129" s="13" t="n">
        <v>1</v>
      </c>
      <c r="G129" s="13" t="n">
        <v>0</v>
      </c>
      <c r="H129" s="5" t="n">
        <v>0</v>
      </c>
      <c r="I129" s="5" t="n">
        <v>0</v>
      </c>
      <c r="J129" s="6" t="n">
        <v/>
      </c>
      <c r="K129" s="13" t="n">
        <v>0</v>
      </c>
      <c r="L129" s="13" t="n">
        <v>0</v>
      </c>
    </row>
    <row r="130">
      <c r="A130" s="4" t="inlineStr">
        <is>
          <t>без А/М</t>
        </is>
      </c>
      <c r="B130" s="4" t="inlineStr">
        <is>
          <t>Сентябрь 2023</t>
        </is>
      </c>
      <c r="C130" s="5" t="n">
        <v>0</v>
      </c>
      <c r="D130" s="5" t="n">
        <v>0</v>
      </c>
      <c r="E130" s="6" t="n">
        <v/>
      </c>
      <c r="F130" s="13" t="n">
        <v>0</v>
      </c>
      <c r="G130" s="13" t="n">
        <v>0</v>
      </c>
      <c r="H130" s="5" t="n">
        <v>0</v>
      </c>
      <c r="I130" s="5" t="n">
        <v>0</v>
      </c>
      <c r="J130" s="6" t="n">
        <v/>
      </c>
      <c r="K130" s="13" t="n">
        <v>1</v>
      </c>
      <c r="L130" s="13" t="n">
        <v>0</v>
      </c>
    </row>
    <row r="131">
      <c r="A131" s="4" t="inlineStr">
        <is>
          <t>без А/М</t>
        </is>
      </c>
      <c r="B131" s="4" t="inlineStr">
        <is>
          <t>Октябрь 2023</t>
        </is>
      </c>
      <c r="C131" s="5" t="n">
        <v>0</v>
      </c>
      <c r="D131" s="5" t="n">
        <v>0</v>
      </c>
      <c r="E131" s="6" t="n">
        <v/>
      </c>
      <c r="F131" s="13" t="n">
        <v>0</v>
      </c>
      <c r="G131" s="13" t="n">
        <v>0</v>
      </c>
      <c r="H131" s="5" t="n">
        <v>0</v>
      </c>
      <c r="I131" s="5" t="n">
        <v>0</v>
      </c>
      <c r="J131" s="6" t="n">
        <v/>
      </c>
      <c r="K131" s="13" t="n">
        <v>0</v>
      </c>
      <c r="L131" s="13" t="n">
        <v>0</v>
      </c>
    </row>
    <row r="132">
      <c r="A132" s="4" t="inlineStr">
        <is>
          <t>без А/М</t>
        </is>
      </c>
      <c r="B132" s="4" t="inlineStr">
        <is>
          <t>Ноябрь 2023</t>
        </is>
      </c>
      <c r="C132" s="5" t="n">
        <v>0</v>
      </c>
      <c r="D132" s="5" t="n">
        <v>0</v>
      </c>
      <c r="E132" s="6" t="n">
        <v/>
      </c>
      <c r="F132" s="13" t="n">
        <v>0</v>
      </c>
      <c r="G132" s="13" t="n">
        <v>0</v>
      </c>
      <c r="H132" s="5" t="n">
        <v>0</v>
      </c>
      <c r="I132" s="5" t="n">
        <v>0</v>
      </c>
      <c r="J132" s="6" t="n">
        <v/>
      </c>
      <c r="K132" s="13" t="n">
        <v>0</v>
      </c>
      <c r="L132" s="13" t="n">
        <v>0</v>
      </c>
    </row>
    <row r="133">
      <c r="A133" s="4" t="inlineStr">
        <is>
          <t>без А/М</t>
        </is>
      </c>
      <c r="B133" s="4" t="inlineStr">
        <is>
          <t>Декабрь 2023</t>
        </is>
      </c>
      <c r="C133" s="5" t="n">
        <v>0</v>
      </c>
      <c r="D133" s="5" t="n">
        <v>0</v>
      </c>
      <c r="E133" s="6" t="n">
        <v/>
      </c>
      <c r="F133" s="13" t="n">
        <v>0</v>
      </c>
      <c r="G133" s="13" t="n">
        <v>0</v>
      </c>
      <c r="H133" s="5" t="n">
        <v>0</v>
      </c>
      <c r="I133" s="5" t="n">
        <v>0</v>
      </c>
      <c r="J133" s="6" t="n">
        <v/>
      </c>
      <c r="K133" s="13" t="n">
        <v>0</v>
      </c>
      <c r="L133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" t="inlineStr">
        <is>
          <t>Проверки качества данных</t>
        </is>
      </c>
      <c r="B1" s="2" t="n"/>
    </row>
    <row r="2">
      <c r="A2" s="2" t="n"/>
      <c r="B2" s="2" t="n"/>
    </row>
    <row r="3">
      <c r="A3" s="3" t="inlineStr">
        <is>
          <t>Проверка</t>
        </is>
      </c>
      <c r="B3" s="3" t="inlineStr">
        <is>
          <t>Значение</t>
        </is>
      </c>
    </row>
    <row r="4">
      <c r="A4" s="4" t="inlineStr">
        <is>
          <t>Строк в prolongations</t>
        </is>
      </c>
      <c r="B4" s="13" t="n">
        <v>477</v>
      </c>
    </row>
    <row r="5">
      <c r="A5" s="4" t="inlineStr">
        <is>
          <t>Строк после объединения</t>
        </is>
      </c>
      <c r="B5" s="13" t="n">
        <v>477</v>
      </c>
    </row>
    <row r="6">
      <c r="A6" s="4" t="inlineStr">
        <is>
          <t>Проектов без financial_data</t>
        </is>
      </c>
      <c r="B6" s="13" t="n">
        <v>0</v>
      </c>
    </row>
    <row r="7">
      <c r="A7" s="4" t="inlineStr">
        <is>
          <t>Строк с нераспознанным месяцем</t>
        </is>
      </c>
      <c r="B7" s="13" t="n">
        <v>0</v>
      </c>
    </row>
    <row r="8">
      <c r="A8" s="4" t="inlineStr">
        <is>
          <t>Количество менеджеров</t>
        </is>
      </c>
      <c r="B8" s="13" t="n">
        <v>10</v>
      </c>
    </row>
    <row r="9">
      <c r="A9" s="4" t="inlineStr">
        <is>
          <t>Строк в financial_data до агрегации</t>
        </is>
      </c>
      <c r="B9" s="13" t="n">
        <v>451</v>
      </c>
    </row>
    <row r="10">
      <c r="A10" s="4" t="inlineStr">
        <is>
          <t>Уникальных проектов в financial_data после агрегации</t>
        </is>
      </c>
      <c r="B10" s="13" t="n">
        <v>314</v>
      </c>
    </row>
    <row r="11">
      <c r="A11" s="4" t="inlineStr">
        <is>
          <t>Сумма базы 1 за год по отделу</t>
        </is>
      </c>
      <c r="B11" s="13" t="n">
        <v>34362627.23</v>
      </c>
    </row>
    <row r="12">
      <c r="A12" s="4" t="inlineStr">
        <is>
          <t>Сумма базы 2 за год по отделу</t>
        </is>
      </c>
      <c r="B12" s="13" t="n">
        <v>14913472.87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2026-05-01T10:35:56Z</dcterms:created>
  <dcterms:modified xmlns:dcterms="http://purl.org/dc/terms/" xmlns:xsi="http://www.w3.org/2001/XMLSchema-instance" xsi:type="dcterms:W3CDTF">2026-05-01T10:35:57Z</dcterms:modified>
</cp:coreProperties>
</file>